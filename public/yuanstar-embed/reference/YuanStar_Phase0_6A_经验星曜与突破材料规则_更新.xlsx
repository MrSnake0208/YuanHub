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9f3ee6229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说明" sheetId="1" r:id="R030d5ce87e8045bd"/>
    <x:sheet xmlns:r="http://schemas.openxmlformats.org/officeDocument/2006/relationships" name="升级经验区间" sheetId="2" r:id="R6959875343b14599"/>
    <x:sheet xmlns:r="http://schemas.openxmlformats.org/officeDocument/2006/relationships" name="逐级经验明细" sheetId="3" r:id="Rda192dfc4cb24a5b"/>
    <x:sheet xmlns:r="http://schemas.openxmlformats.org/officeDocument/2006/relationships" name="经验计算器" sheetId="4" r:id="Ra87076e05eae4b2f"/>
    <x:sheet xmlns:r="http://schemas.openxmlformats.org/officeDocument/2006/relationships" name="校验样例" sheetId="5" r:id="R76644e4a344d42ea"/>
    <x:sheet xmlns:r="http://schemas.openxmlformats.org/officeDocument/2006/relationships" name="Codex配置" sheetId="6" r:id="R6a82a0c75e624fa2"/>
    <x:sheet xmlns:r="http://schemas.openxmlformats.org/officeDocument/2006/relationships" name="突破材料规则" sheetId="7" r:id="R5e407e8419a649de"/>
  </x:sheets>
</x:workbook>
</file>

<file path=xl/sharedStrings.xml><?xml version="1.0" encoding="utf-8"?>
<x:sst xmlns:x="http://schemas.openxmlformats.org/spreadsheetml/2006/main">
  <x:si>
    <x:t xml:space="preserve">YuanStar 经验星曜计算规则（Phase 0.6A）</x:t>
  </x:si>
  <x:si>
    <x:t xml:space="preserve">规则项</x:t>
  </x:si>
  <x:si>
    <x:t xml:space="preserve">确认值/公式</x:t>
  </x:si>
  <x:si>
    <x:t xml:space="preserve">适用范围</x:t>
  </x:si>
  <x:si>
    <x:t xml:space="preserve">Codex实现口径</x:t>
  </x:si>
  <x:si>
    <x:t xml:space="preserve">是否影响需求显示</x:t>
  </x:si>
  <x:si>
    <x:t xml:space="preserve">是否影响背包差值</x:t>
  </x:si>
  <x:si>
    <x:t xml:space="preserve">状态</x:t>
  </x:si>
  <x:si>
    <x:t xml:space="preserve">备注</x:t>
  </x:si>
  <x:si>
    <x:t xml:space="preserve">白星曜经验值</x:t>
  </x:si>
  <x:si>
    <x:t xml:space="preserve">全部星石</x:t>
  </x:si>
  <x:si>
    <x:t xml:space="preserve">常量 WHITE_EXP=100</x:t>
  </x:si>
  <x:si>
    <x:t xml:space="preserve">是</x:t>
  </x:si>
  <x:si>
    <x:t xml:space="preserve">已确认</x:t>
  </x:si>
  <x:si>
    <x:t xml:space="preserve">紫星曜经验值</x:t>
  </x:si>
  <x:si>
    <x:t xml:space="preserve">常量 PURPLE_EXP=500</x:t>
  </x:si>
  <x:si>
    <x:t xml:space="preserve">橙星曜经验值</x:t>
  </x:si>
  <x:si>
    <x:t xml:space="preserve">常量 ORANGE_EXP=1000</x:t>
  </x:si>
  <x:si>
    <x:t xml:space="preserve">否</x:t>
  </x:si>
  <x:si>
    <x:t xml:space="preserve">需求展示不出现橙星曜，但现有背包折算时计入</x:t>
  </x:si>
  <x:si>
    <x:t xml:space="preserve">主星/辅星差异</x:t>
  </x:si>
  <x:si>
    <x:t xml:space="preserve">无差异</x:t>
  </x:si>
  <x:si>
    <x:t xml:space="preserve">主星、辅星</x:t>
  </x:si>
  <x:si>
    <x:t xml:space="preserve">共用同一逐级经验表</x:t>
  </x:si>
  <x:si>
    <x:t xml:space="preserve">品质差异</x:t>
  </x:si>
  <x:si>
    <x:r>
      <x:rPr>
        <x:sz val="1100"/>
        <x:color rgb="FF000000"/>
        <x:rFont val="微软雅黑"/>
        <x:family val="2"/>
      </x:rPr>
      <x:t xml:space="preserve">橙</x:t>
    </x:r>
    <x:r>
      <x:rPr>
        <x:sz val="1100"/>
        <x:color rgb="FF000000"/>
        <x:rFont val="Arial"/>
        <x:family val="2"/>
      </x:rPr>
      <x:t xml:space="preserve">/</x:t>
    </x:r>
    <x:r>
      <x:rPr>
        <x:sz val="1100"/>
        <x:color rgb="FF000000"/>
        <x:rFont val="微软雅黑"/>
        <x:family val="2"/>
      </x:rPr>
      <x:t xml:space="preserve">紫</x:t>
    </x:r>
    <x:r>
      <x:rPr>
        <x:sz val="1100"/>
        <x:color rgb="FF000000"/>
        <x:rFont val="Arial"/>
        <x:family val="2"/>
      </x:rPr>
      <x:t xml:space="preserve">/</x:t>
    </x:r>
    <x:r>
      <x:rPr>
        <x:sz val="1100"/>
        <x:color rgb="FF000000"/>
        <x:rFont val="微软雅黑"/>
        <x:family val="2"/>
      </x:rPr>
      <x:t xml:space="preserve">蓝</x:t>
    </x:r>
    <x:r>
      <x:rPr>
        <x:sz val="1100"/>
        <x:color rgb="FF000000"/>
        <x:rFont val="Arial"/>
        <x:family val="2"/>
      </x:rPr>
      <x:t xml:space="preserve">/</x:t>
    </x:r>
    <x:r>
      <x:rPr>
        <x:sz val="1100"/>
        <x:color rgb="FF000000"/>
        <x:rFont val="微软雅黑"/>
        <x:family val="2"/>
      </x:rPr>
      <x:t xml:space="preserve">绿</x:t>
    </x:r>
    <x:r>
      <x:rPr>
        <x:sz val="1100"/>
        <x:color rgb="FF000000"/>
        <x:rFont val="Arial"/>
        <x:family val="2"/>
      </x:rPr>
      <x:t xml:space="preserve">/</x:t>
    </x:r>
    <x:r>
      <x:rPr>
        <x:sz val="1100"/>
        <x:color rgb="FF000000"/>
        <x:rFont val="微软雅黑"/>
        <x:family val="2"/>
      </x:rPr>
      <x:t xml:space="preserve">白</x:t>
    </x:r>
  </x:si>
  <x:si>
    <x:t xml:space="preserve">品质不进入经验公式</x:t>
  </x:si>
  <x:si>
    <x:t xml:space="preserve">当前经验条进度</x:t>
  </x:si>
  <x:si>
    <x:t xml:space="preserve">统一按0计算</x:t>
  </x:si>
  <x:si>
    <x:t xml:space="preserve">任意当前等级</x:t>
  </x:si>
  <x:si>
    <x:t xml:space="preserve">按该等级完整经验条计算，属于保守最大需求</x:t>
  </x:si>
  <x:si>
    <x:t xml:space="preserve">不识别用户当前条内已喂经验</x:t>
  </x:si>
  <x:si>
    <x:t xml:space="preserve">目标等级经验条</x:t>
  </x:si>
  <x:si>
    <x:t xml:space="preserve">到达目标等级即停止</x:t>
  </x:si>
  <x:si>
    <x:t xml:space="preserve">当前等级→目标等级</x:t>
  </x:si>
  <x:si>
    <x:t xml:space="preserve">累加当前等级至目标等级-1的经验条</x:t>
  </x:si>
  <x:si>
    <x:t xml:space="preserve">目标等级自身经验条不计入</x:t>
  </x:si>
  <x:si>
    <x:t xml:space="preserve">星曜投喂粒度</x:t>
  </x:si>
  <x:si>
    <x:t xml:space="preserve">100经验</x:t>
  </x:si>
  <x:si>
    <x:t xml:space="preserve">需求换算</x:t>
  </x:si>
  <x:si>
    <x:t xml:space="preserve">原始需求向上取整到100</x:t>
  </x:si>
  <x:si>
    <x:t xml:space="preserve">例如9550→9600</x:t>
  </x:si>
  <x:si>
    <x:t xml:space="preserve">需求显示顺序</x:t>
  </x:si>
  <x:si>
    <x:t xml:space="preserve">先紫后白</x:t>
  </x:si>
  <x:si>
    <x:t xml:space="preserve">需求与缺口</x:t>
  </x:si>
  <x:si>
    <x:t xml:space="preserve">紫=整除500；余数按白星曜100结算</x:t>
  </x:si>
  <x:si>
    <x:t xml:space="preserve">不显示橙星曜需求</x:t>
  </x:si>
  <x:si>
    <x:t xml:space="preserve">最高等级</x:t>
  </x:si>
  <x:si>
    <x:t xml:space="preserve">目标等级上限60</x:t>
  </x:si>
  <x:si>
    <x:t xml:space="preserve">60级经验条15000仅作规则记录，不用于升到60</x:t>
  </x:si>
  <x:si>
    <x:t xml:space="preserve">6-24产出</x:t>
  </x:si>
  <x:si>
    <x:t xml:space="preserve">每次3个紫星曜</x:t>
  </x:si>
  <x:si>
    <x:t xml:space="preserve">缺口换算</x:t>
  </x:si>
  <x:si>
    <x:t xml:space="preserve">单次等价1500经验</x:t>
  </x:si>
  <x:si>
    <x:t xml:space="preserve">6-24体力</x:t>
  </x:si>
  <x:si>
    <x:t xml:space="preserve">每次10体力</x:t>
  </x:si>
  <x:si>
    <x:t xml:space="preserve">次数×10</x:t>
  </x:si>
  <x:si>
    <x:t xml:space="preserve">6-24次数</x:t>
  </x:si>
  <x:si>
    <x:t xml:space="preserve">向上取整(缺口经验/1500)</x:t>
  </x:si>
  <x:si>
    <x:t xml:space="preserve">白星曜余量先按经验折算，再按整次关卡向上取整</x:t>
  </x:si>
  <x:si>
    <x:t xml:space="preserve">例：3紫+1白=1600经验→2次→20体力</x:t>
  </x:si>
  <x:si>
    <x:t xml:space="preserve">核心计算公式</x:t>
  </x:si>
  <x:si>
    <x:t xml:space="preserve">原始经验需求</x:t>
  </x:si>
  <x:si>
    <x:t xml:space="preserve">SUM(当前等级经验条 … 目标等级-1经验条)</x:t>
  </x:si>
  <x:si>
    <x:t xml:space="preserve">不考虑当前条内已有进度</x:t>
  </x:si>
  <x:si>
    <x:t xml:space="preserve">边界说明</x:t>
  </x:si>
  <x:si>
    <x:t xml:space="preserve">最小可投喂经验</x:t>
  </x:si>
  <x:si>
    <x:t xml:space="preserve">ROUNDUP(原始经验需求 / 100, 0) × 100</x:t>
  </x:si>
  <x:si>
    <x:t xml:space="preserve">星曜最小粒度为100经验</x:t>
  </x:si>
  <x:si>
    <x:t xml:space="preserve">• 当前等级=目标等级时，所有需求均为0。</x:t>
  </x:si>
  <x:si>
    <x:t xml:space="preserve">需求紫星曜</x:t>
  </x:si>
  <x:si>
    <x:t xml:space="preserve">INT(最小可投喂经验 / 500)</x:t>
  </x:si>
  <x:si>
    <x:t xml:space="preserve">优先使用紫星曜</x:t>
  </x:si>
  <x:si>
    <x:t xml:space="preserve">• 当前条进度未知，统一按0/该级经验条计算，因此结果是保守最大值。</x:t>
  </x:si>
  <x:si>
    <x:t xml:space="preserve">需求白星曜</x:t>
  </x:si>
  <x:si>
    <x:t xml:space="preserve">MOD(最小可投喂经验, 500) / 100</x:t>
  </x:si>
  <x:si>
    <x:t xml:space="preserve">仅承担紫星曜余数</x:t>
  </x:si>
  <x:si>
    <x:t xml:space="preserve">• 因投喂单位最小为白星曜100经验，原始经验可能出现50经验尾数，需向上取整。</x:t>
  </x:si>
  <x:si>
    <x:t xml:space="preserve">背包已有经验</x:t>
  </x:si>
  <x:si>
    <x:t xml:space="preserve">橙×1000 + 紫×500 + 白×100</x:t>
  </x:si>
  <x:si>
    <x:t xml:space="preserve">橙星曜只在此处参与</x:t>
  </x:si>
  <x:si>
    <x:t xml:space="preserve">• 向上取整造成的溢出进入目标等级经验条，但系统不持久追踪该进度。</x:t>
  </x:si>
  <x:si>
    <x:t xml:space="preserve">缺口经验</x:t>
  </x:si>
  <x:si>
    <x:t xml:space="preserve">MAX(0, 最小可投喂经验 - 背包已有经验)</x:t>
  </x:si>
  <x:si>
    <x:t xml:space="preserve">不显示负数</x:t>
  </x:si>
  <x:si>
    <x:t xml:space="preserve">• 60级经验条上限15000为真实规则记录，但目标上限60，不用于继续升级。</x:t>
  </x:si>
  <x:si>
    <x:t xml:space="preserve">6-24折算紫星曜</x:t>
  </x:si>
  <x:si>
    <x:t xml:space="preserve">ROUNDUP(缺口经验 / 500, 0)</x:t>
  </x:si>
  <x:si>
    <x:t xml:space="preserve">白星曜余数向上折算到紫星曜</x:t>
  </x:si>
  <x:si>
    <x:t xml:space="preserve">ROUNDUP(缺口经验 / 1500, 0)</x:t>
  </x:si>
  <x:si>
    <x:t xml:space="preserve">每次3紫=1500经验</x:t>
  </x:si>
  <x:si>
    <x:t xml:space="preserve">6-24次数 × 10</x:t>
  </x:si>
  <x:si>
    <x:t xml:space="preserve">升级经验区间规则</x:t>
  </x:si>
  <x:si>
    <x:t xml:space="preserve">区间</x:t>
  </x:si>
  <x:si>
    <x:t xml:space="preserve">当前等级起</x:t>
  </x:si>
  <x:si>
    <x:t xml:space="preserve">当前等级止</x:t>
  </x:si>
  <x:si>
    <x:t xml:space="preserve">经验条规则</x:t>
  </x:si>
  <x:si>
    <x:t xml:space="preserve">首级经验</x:t>
  </x:si>
  <x:si>
    <x:t xml:space="preserve">递增步长</x:t>
  </x:si>
  <x:si>
    <x:t xml:space="preserve">确认说明</x:t>
  </x:si>
  <x:si>
    <x:t xml:space="preserve">1—10</x:t>
  </x:si>
  <x:si>
    <x:t xml:space="preserve">等差递增</x:t>
  </x:si>
  <x:si>
    <x:t xml:space="preserve">1级100，逐级+50，10级550</x:t>
  </x:si>
  <x:si>
    <x:t xml:space="preserve">11—20</x:t>
  </x:si>
  <x:si>
    <x:t xml:space="preserve">11级600，逐级+100，20级1500</x:t>
  </x:si>
  <x:si>
    <x:t xml:space="preserve">21—30</x:t>
  </x:si>
  <x:si>
    <x:t xml:space="preserve">21级1600，逐级+100，30级2500</x:t>
  </x:si>
  <x:si>
    <x:t xml:space="preserve">31—35</x:t>
  </x:si>
  <x:si>
    <x:t xml:space="preserve">固定值</x:t>
  </x:si>
  <x:si>
    <x:t xml:space="preserve">每级经验条3500</x:t>
  </x:si>
  <x:si>
    <x:t xml:space="preserve">36—40</x:t>
  </x:si>
  <x:si>
    <x:t xml:space="preserve">每级经验条5000</x:t>
  </x:si>
  <x:si>
    <x:t xml:space="preserve">41—45</x:t>
  </x:si>
  <x:si>
    <x:t xml:space="preserve">每级经验条6000</x:t>
  </x:si>
  <x:si>
    <x:t xml:space="preserve">46—50</x:t>
  </x:si>
  <x:si>
    <x:t xml:space="preserve">每级经验条8000</x:t>
  </x:si>
  <x:si>
    <x:t xml:space="preserve">51—55</x:t>
  </x:si>
  <x:si>
    <x:t xml:space="preserve">每级经验条10000</x:t>
  </x:si>
  <x:si>
    <x:t xml:space="preserve">56—60</x:t>
  </x:si>
  <x:si>
    <x:t xml:space="preserve">每级经验条15000</x:t>
  </x:si>
  <x:si>
    <x:t xml:space="preserve">1—60级逐级经验明细</x:t>
  </x:si>
  <x:si>
    <x:t xml:space="preserve">当前等级</x:t>
  </x:si>
  <x:si>
    <x:t xml:space="preserve">下一等级</x:t>
  </x:si>
  <x:si>
    <x:t xml:space="preserve">当前等级经验条上限</x:t>
  </x:si>
  <x:si>
    <x:t xml:space="preserve">从1级到达当前等级的原始经验</x:t>
  </x:si>
  <x:si>
    <x:t xml:space="preserve">溢出进入当前等级经验条</x:t>
  </x:si>
  <x:si>
    <x:t xml:space="preserve">累计紫星曜</x:t>
  </x:si>
  <x:si>
    <x:t xml:space="preserve">累计白星曜</x:t>
  </x:si>
  <x:si>
    <x:t xml:space="preserve">说明</x:t>
  </x:si>
  <x:si>
    <x:t xml:space="preserve">起始等级</x:t>
  </x:si>
  <x:si>
    <x:t xml:space="preserve">关键等级节点；到达10级时不计入10级经验条</x:t>
  </x:si>
  <x:si>
    <x:t xml:space="preserve">关键等级节点；到达20级时不计入20级经验条</x:t>
  </x:si>
  <x:si>
    <x:t xml:space="preserve">关键等级节点；到达30级时不计入30级经验条</x:t>
  </x:si>
  <x:si>
    <x:t xml:space="preserve">关键等级节点；到达40级时不计入40级经验条</x:t>
  </x:si>
  <x:si>
    <x:t xml:space="preserve">关键等级节点；到达50级时不计入50级经验条</x:t>
  </x:si>
  <x:si>
    <x:t xml:space="preserve">关键等级节点；到达60级时不计入60级经验条；60级经验条15000仅作规则记录</x:t>
  </x:si>
  <x:si>
    <x:t xml:space="preserve">经验星曜需求与6-24体力计算器</x:t>
  </x:si>
  <x:si>
    <x:t xml:space="preserve">输入项</x:t>
  </x:si>
  <x:si>
    <x:t xml:space="preserve">数值</x:t>
  </x:si>
  <x:si>
    <x:t xml:space="preserve">计算结果</x:t>
  </x:si>
  <x:si>
    <x:t xml:space="preserve">按当前条0进度计算；累加当前等级至目标等级-1</x:t>
  </x:si>
  <x:si>
    <x:t xml:space="preserve">目标等级</x:t>
  </x:si>
  <x:si>
    <x:t xml:space="preserve">向上取整到100</x:t>
  </x:si>
  <x:si>
    <x:t xml:space="preserve">背包橙星曜</x:t>
  </x:si>
  <x:si>
    <x:t xml:space="preserve">优先紫星曜</x:t>
  </x:si>
  <x:si>
    <x:t xml:space="preserve">背包紫星曜</x:t>
  </x:si>
  <x:si>
    <x:t xml:space="preserve">只承担500以内余数</x:t>
  </x:si>
  <x:si>
    <x:t xml:space="preserve">背包白星曜</x:t>
  </x:si>
  <x:si>
    <x:t xml:space="preserve">橙×1000+紫×500+白×100</x:t>
  </x:si>
  <x:si>
    <x:t xml:space="preserve">最低为0</x:t>
  </x:si>
  <x:si>
    <x:t xml:space="preserve">缺口紫星曜</x:t>
  </x:si>
  <x:si>
    <x:t xml:space="preserve">缺口按紫+白展示</x:t>
  </x:si>
  <x:si>
    <x:t xml:space="preserve">缺口白星曜</x:t>
  </x:si>
  <x:si>
    <x:t xml:space="preserve">白星曜余数向上折算</x:t>
  </x:si>
  <x:si>
    <x:t xml:space="preserve">口径提示：当前经验条一律按0计算，因此结果是保守最大需求；突破材料不纳入。因星曜最小投喂单位为100经验，原始需求有50经验尾数时会向上取整。</x:t>
  </x:si>
  <x:si>
    <x:t xml:space="preserve">已确认等级区间校验样例</x:t>
  </x:si>
  <x:si>
    <x:t xml:space="preserve">原始经验</x:t>
  </x:si>
  <x:si>
    <x:t xml:space="preserve">紫星曜</x:t>
  </x:si>
  <x:si>
    <x:t xml:space="preserve">白星曜</x:t>
  </x:si>
  <x:si>
    <x:t xml:space="preserve">溢出经验</x:t>
  </x:si>
  <x:si>
    <x:t xml:space="preserve">体力</x:t>
  </x:si>
  <x:si>
    <x:t xml:space="preserve">验证说明</x:t>
  </x:si>
  <x:si>
    <x:t xml:space="preserve">用户确认：1→10原始经验2700；到达10级时经验条0/550</x:t>
  </x:si>
  <x:si>
    <x:t xml:space="preserve">用户确认：原始9550；按百位投喂需9600；到达20级时溢出50/1500</x:t>
  </x:si>
  <x:si>
    <x:t xml:space="preserve">根据已确认逐级规则展开</x:t>
  </x:si>
  <x:si>
    <x:t xml:space="preserve">截图确认：50级经验条8000；51—55为10000；56—60为15000</x:t>
  </x:si>
  <x:si>
    <x:t xml:space="preserve">全程保守最大需求，目标60级</x:t>
  </x:si>
  <x:si>
    <x:t xml:space="preserve">截图与用户口径对应</x:t>
  </x:si>
  <x:si>
    <x:t xml:space="preserve">bae2febb837ea8faff02db2bc3d09cd5.jpg</x:t>
  </x:si>
  <x:si>
    <x:t xml:space="preserve">50级</x:t>
  </x:si>
  <x:si>
    <x:t xml:space="preserve">50/8000</x:t>
  </x:si>
  <x:si>
    <x:t xml:space="preserve">确认46—50级经验条为8000</x:t>
  </x:si>
  <x:si>
    <x:t xml:space="preserve">5845e43ed8c55952f18a51126767495e.jpg</x:t>
  </x:si>
  <x:si>
    <x:t xml:space="preserve">60级</x:t>
  </x:si>
  <x:si>
    <x:t xml:space="preserve">50/15000</x:t>
  </x:si>
  <x:si>
    <x:t xml:space="preserve">确认56—60级经验条为15000</x:t>
  </x:si>
  <x:si>
    <x:t xml:space="preserve">203ceb4d4e6358117b5df72e3f0ebd62.jpg</x:t>
  </x:si>
  <x:si>
    <x:t xml:space="preserve">1→10级</x:t>
  </x:si>
  <x:si>
    <x:t xml:space="preserve">目标10级，0/550</x:t>
  </x:si>
  <x:si>
    <x:t xml:space="preserve">确认10级经验条为550；到达10级不需填满10级条</x:t>
  </x:si>
  <x:si>
    <x:t xml:space="preserve">Codex可读取的标准化配置</x:t>
  </x:si>
  <x:si>
    <x:t xml:space="preserve">配置键</x:t>
  </x:si>
  <x:si>
    <x:t xml:space="preserve">值</x:t>
  </x:si>
  <x:si>
    <x:t xml:space="preserve">数据类型</x:t>
  </x:si>
  <x:si>
    <x:t xml:space="preserve">用途</x:t>
  </x:si>
  <x:si>
    <x:t xml:space="preserve">max_level</x:t>
  </x:si>
  <x:si>
    <x:t xml:space="preserve">int</x:t>
  </x:si>
  <x:si>
    <x:t xml:space="preserve">计划等级上限</x:t>
  </x:si>
  <x:si>
    <x:t xml:space="preserve">confirmed</x:t>
  </x:si>
  <x:si>
    <x:t xml:space="preserve">white_exp</x:t>
  </x:si>
  <x:si>
    <x:t xml:space="preserve">purple_exp</x:t>
  </x:si>
  <x:si>
    <x:t xml:space="preserve">orange_exp</x:t>
  </x:si>
  <x:si>
    <x:t xml:space="preserve">橙星曜经验值，仅背包折算</x:t>
  </x:si>
  <x:si>
    <x:t xml:space="preserve">requirement_display</x:t>
  </x:si>
  <x:si>
    <x:t xml:space="preserve">purple,white</x:t>
  </x:si>
  <x:si>
    <x:t xml:space="preserve">list[str]</x:t>
  </x:si>
  <x:si>
    <x:t xml:space="preserve">需求不显示橙星曜</x:t>
  </x:si>
  <x:si>
    <x:t xml:space="preserve">include_orange_in_owned_exp</x:t>
  </x:si>
  <x:si>
    <x:t xml:space="preserve">bool</x:t>
  </x:si>
  <x:si>
    <x:t xml:space="preserve">背包差值折算</x:t>
  </x:si>
  <x:si>
    <x:t xml:space="preserve">assume_current_bar_progress</x:t>
  </x:si>
  <x:si>
    <x:t xml:space="preserve">忽略实际条内进度，按最大需求</x:t>
  </x:si>
  <x:si>
    <x:t xml:space="preserve">include_breakthrough_materials</x:t>
  </x:si>
  <x:si>
    <x:t xml:space="preserve">stage_6_24_purple_yield</x:t>
  </x:si>
  <x:si>
    <x:t xml:space="preserve">单次产出紫星曜</x:t>
  </x:si>
  <x:si>
    <x:t xml:space="preserve">stage_6_24_exp_yield</x:t>
  </x:si>
  <x:si>
    <x:t xml:space="preserve">单次等价经验</x:t>
  </x:si>
  <x:si>
    <x:t xml:space="preserve">derived</x:t>
  </x:si>
  <x:si>
    <x:t xml:space="preserve">stage_6_24_stamina_cost</x:t>
  </x:si>
  <x:si>
    <x:t xml:space="preserve">单次体力</x:t>
  </x:si>
  <x:si>
    <x:t xml:space="preserve">round_exp_to</x:t>
  </x:si>
  <x:si>
    <x:t xml:space="preserve">最小投喂粒度</x:t>
  </x:si>
  <x:si>
    <x:t xml:space="preserve">level_exp_table</x:t>
  </x:si>
  <x:si>
    <x:t xml:space="preserve">逐级经验明细!A4:C63</x:t>
  </x:si>
  <x:si>
    <x:t xml:space="preserve">range</x:t>
  </x:si>
  <x:si>
    <x:t xml:space="preserve">当前等级与经验条上限</x:t>
  </x:si>
</x:sst>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6233A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6B4F00"/>
      <x:name val="Carlito"/>
    </x:font>
    <x:font>
      <x:b/>
      <x:sz val="10"/>
      <x:color rgb="FF26233A"/>
      <x:name val="Microsoft YaHei"/>
    </x:font>
    <x:font>
      <x:sz val="10"/>
      <x:color rgb="FF26233A"/>
      <x:name val="Microsoft YaHei"/>
    </x:font>
    <x:font>
      <x:b/>
      <x:sz val="10"/>
      <x:color rgb="FF6B4F00"/>
      <x:name val="Microsoft YaHei"/>
    </x:font>
    <x:font>
      <x:sz val="11"/>
      <x:name val="Carlito"/>
    </x:font>
    <x:font>
      <x:sz val="9"/>
      <x:name val="宋体"/>
    </x:font>
    <x:font>
      <x:sz val="11"/>
      <x:name val="微软雅黑"/>
    </x:font>
    <x:font>
      <x:sz val="11"/>
      <x:name val="Arial"/>
    </x:font>
    <x:font>
      <x:sz val="11"/>
      <x:name val="Carlito"/>
    </x:font>
    <x:font>
      <x:b/>
      <x:sz val="10"/>
      <x:color rgb="FF3E3479"/>
      <x:name val="Microsoft YaHei"/>
    </x:font>
    <x:font>
      <x:b/>
      <x:sz val="11"/>
      <x:color rgb="FF3E3479"/>
      <x:name val="Carlito"/>
    </x:font>
    <x:font>
      <x:b/>
      <x:sz val="14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4F46A5"/>
      </x:patternFill>
    </x:fill>
    <x:fill>
      <x:patternFill patternType="solid">
        <x:fgColor rgb="FF6D5BD0"/>
      </x:patternFill>
    </x:fill>
    <x:fill>
      <x:patternFill patternType="solid">
        <x:fgColor rgb="FFE8F5E9"/>
      </x:patternFill>
    </x:fill>
    <x:fill>
      <x:patternFill patternType="solid">
        <x:fgColor rgb="FFEDE9FE"/>
      </x:patternFill>
    </x:fill>
    <x:fill>
      <x:patternFill patternType="solid">
        <x:fgColor rgb="FFFFF7D6"/>
      </x:patternFill>
    </x:fill>
    <x:fill>
      <x:patternFill patternType="solid">
        <x:fgColor rgb="FFFFFDF2"/>
      </x:patternFill>
    </x:fill>
    <x:fill>
      <x:patternFill patternType="solid">
        <x:fgColor rgb="FFF6F4FF"/>
      </x:patternFill>
    </x:fill>
    <x:fill>
      <x:patternFill patternType="solid">
        <x:fgColor rgb="FFE8E4FF"/>
      </x:patternFill>
    </x:fill>
    <x:fill>
      <x:patternFill patternType="solid">
        <x:fgColor rgb="FF4E46A8"/>
      </x:patternFill>
    </x:fill>
    <x:fill>
      <x:patternFill patternType="solid">
        <x:fgColor rgb="FF6A5ACD"/>
      </x:patternFill>
    </x:fill>
    <x:fill>
      <x:patternFill patternType="solid">
        <x:fgColor rgb="FFE3F3E7"/>
      </x:patternFill>
    </x:fill>
  </x:fills>
  <x:borders count="20">
    <x:border/>
    <x:border>
      <x:left style="thin">
        <x:color rgb="FFD8D3E8"/>
      </x:left>
      <x:top style="thin">
        <x:color rgb="FFD8D3E8"/>
      </x:top>
    </x:border>
    <x:border>
      <x:top style="thin">
        <x:color rgb="FFD8D3E8"/>
      </x:top>
    </x:border>
    <x:border>
      <x:right style="thin">
        <x:color rgb="FFD8D3E8"/>
      </x:right>
      <x:top style="thin">
        <x:color rgb="FFD8D3E8"/>
      </x:top>
    </x:border>
    <x:border>
      <x:left style="thin">
        <x:color rgb="FFD8D3E8"/>
      </x:left>
    </x:border>
    <x:border>
      <x:right style="thin">
        <x:color rgb="FFD8D3E8"/>
      </x:right>
    </x:border>
    <x:border>
      <x:left style="thin">
        <x:color rgb="FFD8D3E8"/>
      </x:left>
      <x:bottom style="thin">
        <x:color rgb="FFD8D3E8"/>
      </x:bottom>
    </x:border>
    <x:border>
      <x:bottom style="thin">
        <x:color rgb="FFD8D3E8"/>
      </x:bottom>
    </x:border>
    <x:border>
      <x:right style="thin">
        <x:color rgb="FFD8D3E8"/>
      </x:right>
      <x:bottom style="thin">
        <x:color rgb="FFD8D3E8"/>
      </x:bottom>
    </x:border>
    <x:border>
      <x:bottom style="thin">
        <x:color rgb="FFECE9F5"/>
      </x:bottom>
    </x:border>
    <x:border/>
    <x:border>
      <x:top style="thin">
        <x:color rgb="FFD8D3E8"/>
      </x:top>
    </x:border>
    <x:border>
      <x:right style="thin">
        <x:color rgb="FFD8D3E8"/>
      </x:right>
      <x:top style="thin">
        <x:color rgb="FFD8D3E8"/>
      </x:top>
    </x:border>
    <x:border>
      <x:right style="thin">
        <x:color rgb="FFD8D3E8"/>
      </x:right>
    </x:border>
    <x:border>
      <x:bottom style="thin">
        <x:color rgb="FFD8D3E8"/>
      </x:bottom>
    </x:border>
    <x:border>
      <x:right style="thin">
        <x:color rgb="FFD8D3E8"/>
      </x:right>
      <x:bottom style="thin">
        <x:color rgb="FFD8D3E8"/>
      </x:bottom>
    </x:border>
    <x:border>
      <x:bottom style="thin">
        <x:color rgb="FFECE9F5"/>
      </x:bottom>
    </x:border>
    <x:border>
      <x:left style="thin">
        <x:color rgb="FFD8D3E8"/>
      </x:left>
      <x:top style="thin">
        <x:color rgb="FFD8D3E8"/>
      </x:top>
    </x:border>
    <x:border>
      <x:left style="thin">
        <x:color rgb="FFD8D3E8"/>
      </x:left>
    </x:border>
    <x:border>
      <x:left style="thin">
        <x:color rgb="FFD8D3E8"/>
      </x:left>
      <x:bottom style="thin">
        <x:color rgb="FFD8D3E8"/>
      </x:bottom>
    </x:border>
  </x:borders>
  <x:cellStyleXfs count="2">
    <x:xf numFmtId="0" fontId="0" fillId="0" borderId="0"/>
    <x:xf numFmtId="0" fontId="10" fillId="0" borderId="0"/>
  </x:cellStyleXfs>
  <x:cellXfs count="156">
    <x:xf numFmtId="0" fontId="0" fillId="0" borderId="0" xfId="0"/>
    <x:xf numFmtId="0" fontId="2" fillId="3" borderId="0" xfId="1" applyFont="1" applyFill="1" applyAlignment="1">
      <x:alignment horizontal="center" wrapText="1"/>
    </x:xf>
    <x:xf numFmtId="0" fontId="2" fillId="3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0" fillId="0" borderId="0" xfId="1" applyFont="1" applyAlignment="1">
      <x:alignment vertical="top" wrapText="1"/>
    </x:xf>
    <x:xf numFmtId="0" fontId="0" fillId="0" borderId="2" xfId="1" applyFont="1" applyBorder="1" applyAlignment="1">
      <x:alignment vertical="top" wrapText="1"/>
    </x:xf>
    <x:xf numFmtId="0" fontId="0" fillId="0" borderId="3" xfId="1" applyFont="1" applyBorder="1" applyAlignment="1">
      <x:alignment vertical="top" wrapText="1"/>
    </x:xf>
    <x:xf numFmtId="0" fontId="0" fillId="0" borderId="5" xfId="1" applyFont="1" applyBorder="1" applyAlignment="1">
      <x:alignment vertical="top" wrapText="1"/>
    </x:xf>
    <x:xf numFmtId="0" fontId="0" fillId="0" borderId="7" xfId="1" applyFont="1" applyBorder="1" applyAlignment="1">
      <x:alignment vertical="top" wrapText="1"/>
    </x:xf>
    <x:xf numFmtId="0" fontId="0" fillId="0" borderId="8" xfId="1" applyFont="1" applyBorder="1" applyAlignment="1">
      <x:alignment vertical="top" wrapText="1"/>
    </x:xf>
    <x:xf numFmtId="0" fontId="0" fillId="4" borderId="2" xfId="1" applyFont="1" applyFill="1" applyBorder="1" applyAlignment="1">
      <x:alignment vertical="top" wrapText="1"/>
    </x:xf>
    <x:xf numFmtId="0" fontId="0" fillId="4" borderId="0" xfId="1" applyFont="1" applyFill="1" applyAlignment="1">
      <x:alignment vertical="top" wrapText="1"/>
    </x:xf>
    <x:xf numFmtId="0" fontId="0" fillId="4" borderId="7" xfId="1" applyFont="1" applyFill="1" applyBorder="1" applyAlignment="1">
      <x:alignment vertical="top" wrapText="1"/>
    </x:xf>
    <x:xf numFmtId="0" fontId="0" fillId="0" borderId="7" xfId="1" applyFont="1" applyBorder="1" applyAlignment="1">
      <x:alignment wrapText="1"/>
    </x:xf>
    <x:xf numFmtId="0" fontId="2" fillId="3" borderId="0" xfId="1" applyFont="1" applyFill="1" applyAlignment="1">
      <x:alignment horizontal="center"/>
    </x:xf>
    <x:xf numFmtId="0" fontId="0" fillId="0" borderId="2" xfId="1" applyFont="1" applyBorder="1"/>
    <x:xf numFmtId="0" fontId="0" fillId="0" borderId="7" xfId="1" applyFont="1" applyBorder="1"/>
    <x:xf numFmtId="0" fontId="0" fillId="0" borderId="2" xfId="1" applyFont="1" applyBorder="1" applyAlignment="1">
      <x:alignment wrapText="1"/>
    </x:xf>
    <x:xf numFmtId="0" fontId="0" fillId="0" borderId="3" xfId="1" applyFont="1" applyBorder="1" applyAlignment="1">
      <x:alignment wrapText="1"/>
    </x:xf>
    <x:xf numFmtId="0" fontId="0" fillId="0" borderId="5" xfId="1" applyFont="1" applyBorder="1" applyAlignment="1">
      <x:alignment wrapText="1"/>
    </x:xf>
    <x:xf numFmtId="0" fontId="0" fillId="0" borderId="8" xfId="1" applyFont="1" applyBorder="1" applyAlignment="1">
      <x:alignment wrapText="1"/>
    </x:xf>
    <x:xf numFmtId="0" fontId="0" fillId="0" borderId="0" xfId="1" applyFont="1" applyAlignment="1">
      <x:alignment vertical="center"/>
    </x:xf>
    <x:xf numFmtId="0" fontId="0" fillId="0" borderId="9" xfId="1" applyFont="1" applyBorder="1" applyAlignment="1">
      <x:alignment vertical="center"/>
    </x:xf>
    <x:xf numFmtId="0" fontId="0" fillId="0" borderId="0" xfId="1" applyFont="1" applyAlignment="1">
      <x:alignment vertical="center" wrapText="1"/>
    </x:xf>
    <x:xf numFmtId="0" fontId="0" fillId="0" borderId="9" xfId="1" applyFont="1" applyBorder="1" applyAlignment="1">
      <x:alignment vertical="center" wrapText="1"/>
    </x:xf>
    <x:xf numFmtId="0" fontId="0" fillId="7" borderId="0" xfId="1" applyFont="1" applyFill="1"/>
    <x:xf numFmtId="0" fontId="4" fillId="0" borderId="0" xfId="1" applyFont="1"/>
    <x:xf numFmtId="0" fontId="4" fillId="0" borderId="7" xfId="1" applyFont="1" applyBorder="1"/>
    <x:xf numFmtId="0" fontId="0" fillId="8" borderId="0" xfId="1" applyFont="1" applyFill="1"/>
    <x:xf numFmtId="0" fontId="0" fillId="8" borderId="7" xfId="1" applyFont="1" applyFill="1" applyBorder="1"/>
    <x:xf numFmtId="0" fontId="6" fillId="6" borderId="0" xfId="1" applyFont="1" applyFill="1" applyAlignment="1">
      <x:alignment wrapText="1"/>
    </x:xf>
    <x:xf numFmtId="0" fontId="0" fillId="0" borderId="0" xfId="1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3" borderId="0" xfId="1" applyFont="1" applyFill="1" applyAlignment="1">
      <x:alignment horizontal="center" vertical="center" wrapText="1"/>
    </x:xf>
    <x:xf numFmtId="0" fontId="8" fillId="0" borderId="0" xfId="1" applyFont="1" applyAlignment="1">
      <x:alignment vertical="center"/>
    </x:xf>
    <x:xf numFmtId="0" fontId="8" fillId="0" borderId="1" xfId="1" applyFont="1" applyBorder="1" applyAlignment="1">
      <x:alignment vertical="center" wrapText="1"/>
    </x:xf>
    <x:xf numFmtId="0" fontId="8" fillId="0" borderId="4" xfId="1" applyFont="1" applyBorder="1" applyAlignment="1">
      <x:alignment vertical="center" wrapText="1"/>
    </x:xf>
    <x:xf numFmtId="0" fontId="8" fillId="0" borderId="6" xfId="1" applyFont="1" applyBorder="1" applyAlignment="1">
      <x:alignment vertical="center" wrapText="1"/>
    </x:xf>
    <x:xf numFmtId="0" fontId="7" fillId="0" borderId="0" xfId="1" applyFont="1" applyAlignment="1">
      <x:alignment vertical="center" wrapText="1"/>
    </x:xf>
    <x:xf numFmtId="0" fontId="7" fillId="0" borderId="7" xfId="1" applyFont="1" applyBorder="1" applyAlignment="1">
      <x:alignment vertical="center" wrapText="1"/>
    </x:xf>
    <x:xf numFmtId="0" fontId="7" fillId="3" borderId="0" xfId="1" applyFont="1" applyFill="1" applyAlignment="1">
      <x:alignment horizontal="center" vertical="center"/>
    </x:xf>
    <x:xf numFmtId="0" fontId="8" fillId="0" borderId="9" xfId="1" applyFont="1" applyBorder="1" applyAlignment="1">
      <x:alignment vertical="center"/>
    </x:xf>
    <x:xf numFmtId="0" fontId="7" fillId="6" borderId="0" xfId="1" applyFont="1" applyFill="1" applyAlignment="1">
      <x:alignment vertical="center" wrapText="1"/>
    </x:xf>
    <x:xf numFmtId="0" fontId="8" fillId="0" borderId="1" xfId="1" applyFont="1" applyBorder="1" applyAlignment="1">
      <x:alignment vertical="center"/>
    </x:xf>
    <x:xf numFmtId="0" fontId="8" fillId="0" borderId="4" xfId="1" applyFont="1" applyBorder="1" applyAlignment="1">
      <x:alignment vertical="center"/>
    </x:xf>
    <x:xf numFmtId="0" fontId="8" fillId="0" borderId="6" xfId="1" applyFont="1" applyBorder="1" applyAlignment="1">
      <x:alignment vertical="center"/>
    </x:xf>
    <x:xf numFmtId="0" fontId="8" fillId="0" borderId="7" xfId="1" applyFont="1" applyBorder="1" applyAlignment="1">
      <x:alignment vertical="center"/>
    </x:xf>
    <x:xf numFmtId="1" fontId="0" fillId="0" borderId="0" xfId="1" applyNumberFormat="1" applyFont="1"/>
    <x:xf numFmtId="0" fontId="7" fillId="2" borderId="0" xfId="1" applyFont="1" applyFill="1" applyAlignment="1">
      <x:alignment horizontal="center" vertical="center"/>
    </x:xf>
    <x:xf numFmtId="0" fontId="1" fillId="2" borderId="0" xfId="1" applyFont="1" applyFill="1" applyAlignment="1">
      <x:alignment horizontal="center" vertical="center"/>
    </x:xf>
    <x:xf numFmtId="0" fontId="7" fillId="5" borderId="0" xfId="1" applyFont="1" applyFill="1" applyAlignment="1">
      <x:alignment vertical="center"/>
    </x:xf>
    <x:xf numFmtId="0" fontId="3" fillId="5" borderId="0" xfId="1" applyFont="1" applyFill="1"/>
    <x:xf numFmtId="0" fontId="3" fillId="6" borderId="0" xfId="1" applyFont="1" applyFill="1"/>
    <x:xf numFmtId="0" fontId="5" fillId="2" borderId="0" xfId="1" applyFont="1" applyFill="1" applyAlignment="1">
      <x:alignment horizontal="center"/>
    </x:xf>
    <x:xf numFmtId="1" fontId="7" fillId="2" borderId="0" xfId="1" applyNumberFormat="1" applyFont="1" applyFill="1" applyAlignment="1">
      <x:alignment horizontal="center" vertical="center"/>
    </x:xf>
    <x:xf numFmtId="1" fontId="5" fillId="2" borderId="0" xfId="1" applyNumberFormat="1" applyFont="1" applyFill="1" applyAlignment="1">
      <x:alignment horizontal="center"/>
    </x:xf>
    <x:xf numFmtId="0" fontId="9" fillId="6" borderId="0" xfId="1" applyFont="1" applyFill="1" applyAlignment="1">
      <x:alignment vertical="center" wrapText="1"/>
    </x:xf>
    <x:xf numFmtId="0" fontId="6" fillId="6" borderId="0" xfId="1" applyFont="1" applyFill="1" applyAlignment="1">
      <x:alignment vertical="center" wrapText="1"/>
    </x:xf>
    <x:xf numFmtId="0" fontId="14" fillId="0" borderId="0" xfId="1" applyFont="1" applyAlignment="1">
      <x:alignment vertical="top" wrapText="1"/>
    </x:xf>
    <x:xf numFmtId="0" fontId="0" fillId="0" borderId="10" xfId="0" applyNumberFormat="1" applyFont="1" applyFill="1" applyBorder="1"/>
    <x:xf numFmtId="0" fontId="2" fillId="3" borderId="10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4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/>
    <x:xf numFmtId="0" fontId="4" fillId="0" borderId="10" xfId="0" applyNumberFormat="1" applyFont="1" applyFill="1" applyBorder="1"/>
    <x:xf numFmtId="0" fontId="4" fillId="0" borderId="14" xfId="0" applyNumberFormat="1" applyFont="1" applyFill="1" applyBorder="1"/>
    <x:xf numFmtId="0" fontId="0" fillId="8" borderId="10" xfId="0" applyNumberFormat="1" applyFont="1" applyFill="1" applyBorder="1"/>
    <x:xf numFmtId="0" fontId="0" fillId="8" borderId="14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3" borderId="10" xfId="0" applyNumberFormat="1" applyFont="1" applyFill="1" applyBorder="1" applyAlignment="1">
      <x:alignment horizontal="center" vertical="center" wrapText="1"/>
    </x:xf>
    <x:xf numFmtId="0" fontId="8" fillId="0" borderId="10" xfId="0" applyNumberFormat="1" applyFont="1" applyFill="1" applyBorder="1" applyAlignment="1">
      <x:alignment vertical="center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4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vertical="center"/>
    </x:xf>
    <x:xf numFmtId="0" fontId="7" fillId="6" borderId="10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/>
    </x:xf>
    <x:xf numFmtId="0" fontId="8" fillId="0" borderId="18" xfId="0" applyNumberFormat="1" applyFont="1" applyFill="1" applyBorder="1" applyAlignment="1">
      <x:alignment vertical="center"/>
    </x:xf>
    <x:xf numFmtId="0" fontId="8" fillId="0" borderId="19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1" fontId="0" fillId="0" borderId="10" xfId="0" applyNumberFormat="1" applyFont="1" applyFill="1" applyBorder="1"/>
    <x:xf numFmtId="0" fontId="7" fillId="2" borderId="10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/>
    <x:xf numFmtId="0" fontId="3" fillId="6" borderId="10" xfId="0" applyNumberFormat="1" applyFont="1" applyFill="1" applyBorder="1"/>
    <x:xf numFmtId="0" fontId="5" fillId="2" borderId="10" xfId="0" applyNumberFormat="1" applyFont="1" applyFill="1" applyBorder="1" applyAlignment="1">
      <x:alignment horizontal="center"/>
    </x:xf>
    <x:xf numFmtId="1" fontId="7" fillId="2" borderId="10" xfId="0" applyNumberFormat="1" applyFont="1" applyFill="1" applyBorder="1" applyAlignment="1">
      <x:alignment horizontal="center" vertical="center"/>
    </x:xf>
    <x:xf numFmtId="1" fontId="5" fillId="2" borderId="10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 applyAlignment="1">
      <x:alignment vertical="center"/>
    </x:xf>
    <x:xf numFmtId="0" fontId="16" fillId="9" borderId="0" xfId="0" applyNumberFormat="1" applyFont="1" applyFill="1" applyBorder="1"/>
    <x:xf numFmtId="0" fontId="16" fillId="9" borderId="0" xfId="0" applyNumberFormat="1" applyFont="1" applyFill="1" applyBorder="1" applyAlignment="1">
      <x:alignment vertical="center"/>
    </x:xf>
    <x:xf numFmtId="0" fontId="8" fillId="9" borderId="10" xfId="0" applyNumberFormat="1" applyFont="1" applyFill="1" applyBorder="1" applyAlignment="1">
      <x:alignment vertical="center"/>
    </x:xf>
    <x:xf numFmtId="0" fontId="0" fillId="9" borderId="10" xfId="0" applyNumberFormat="1" applyFont="1" applyFill="1" applyBorder="1"/>
    <x:xf numFmtId="0" fontId="15" fillId="9" borderId="10" xfId="0" applyNumberFormat="1" applyFont="1" applyFill="1" applyBorder="1" applyAlignment="1">
      <x:alignment vertical="center"/>
    </x:xf>
    <x:xf numFmtId="0" fontId="16" fillId="9" borderId="10" xfId="0" applyNumberFormat="1" applyFont="1" applyFill="1" applyBorder="1"/>
    <x:xf numFmtId="0" fontId="16" fillId="9" borderId="1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horizontal="center"/>
    </x:xf>
    <x:xf numFmtId="0" fontId="17" fillId="10" borderId="0" xfId="0" applyNumberFormat="1" applyFont="1" applyFill="1" applyBorder="1" applyAlignment="1">
      <x:alignment horizontal="center" vertical="center"/>
    </x:xf>
    <x:xf numFmtId="0" fontId="0" fillId="10" borderId="10" xfId="0" applyNumberFormat="1" applyFont="1" applyFill="1" applyBorder="1"/>
    <x:xf numFmtId="0" fontId="17" fillId="10" borderId="10" xfId="0" applyNumberFormat="1" applyFont="1" applyFill="1" applyBorder="1"/>
    <x:xf numFmtId="0" fontId="17" fillId="10" borderId="10" xfId="0" applyNumberFormat="1" applyFont="1" applyFill="1" applyBorder="1" applyAlignment="1">
      <x:alignment horizontal="center"/>
    </x:xf>
    <x:xf numFmtId="0" fontId="17" fillId="10" borderId="1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1" borderId="10" xfId="0" applyNumberFormat="1" applyFont="1" applyFill="1" applyBorder="1"/>
    <x:xf numFmtId="0" fontId="2" fillId="11" borderId="10" xfId="0" applyNumberFormat="1" applyFont="1" applyFill="1" applyBorder="1"/>
    <x:xf numFmtId="0" fontId="2" fillId="11" borderId="10" xfId="0" applyNumberFormat="1" applyFont="1" applyFill="1" applyBorder="1" applyAlignment="1">
      <x:alignment wrapText="1"/>
    </x:xf>
    <x:xf numFmtId="0" fontId="2" fillId="11" borderId="10" xfId="0" applyNumberFormat="1" applyFont="1" applyFill="1" applyBorder="1" applyAlignment="1">
      <x:alignment horizontal="center" wrapText="1"/>
    </x:xf>
    <x:xf numFmtId="0" fontId="2" fillId="11" borderId="10" xfId="0" applyNumberFormat="1" applyFont="1" applyFill="1" applyBorder="1" applyAlignment="1">
      <x:alignment horizontal="center" vertical="center" wrapText="1"/>
    </x:xf>
    <x:xf numFmtId="0" fontId="16" fillId="9" borderId="0" xfId="0" applyNumberFormat="1" applyFont="1" applyFill="1" applyBorder="1" applyAlignment="1">
      <x:alignment vertical="center" wrapText="1"/>
    </x:xf>
    <x:xf numFmtId="0" fontId="16" fillId="9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wrapText="1"/>
    </x:xf>
    <x:xf numFmtId="0" fontId="16" fillId="12" borderId="0" xfId="0" applyNumberFormat="1" applyFont="1" applyFill="1" applyBorder="1" applyAlignment="1">
      <x:alignment vertical="center" wrapText="1"/>
    </x:xf>
    <x:xf numFmtId="0" fontId="0" fillId="12" borderId="10" xfId="0" applyNumberFormat="1" applyFont="1" applyFill="1" applyBorder="1" applyAlignment="1">
      <x:alignment wrapText="1"/>
    </x:xf>
    <x:xf numFmtId="0" fontId="16" fillId="12" borderId="1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horizontal="center" wrapText="1"/>
    </x:xf>
    <x:xf numFmtId="0" fontId="16" fillId="12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1">
    <x:dxf>
      <x:font>
        <x:b/>
      </x:font>
      <x:fill>
        <x:patternFill>
          <x:bgColor rgb="FFF2EE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f6b0f80f141ba" /><Relationship Type="http://schemas.openxmlformats.org/officeDocument/2006/relationships/theme" Target="/xl/theme/theme1.xml" Id="Raf48523344814521" /><Relationship Type="http://schemas.microsoft.com/office/2022/11/relationships/FeaturePropertyBag" Target="/xl/featurePropertyBag/featurePropertyBag.xml" Id="R17fcf8bb3f6247b7" /><Relationship Type="http://schemas.openxmlformats.org/officeDocument/2006/relationships/sharedStrings" Target="/xl/sharedStrings.xml" Id="R3e6cb7aa09be4020" /><Relationship Type="http://schemas.openxmlformats.org/officeDocument/2006/relationships/worksheet" Target="/xl/worksheets/sheet1.xml" Id="R030d5ce87e8045bd" /><Relationship Type="http://schemas.openxmlformats.org/officeDocument/2006/relationships/worksheet" Target="/xl/worksheets/sheet2.xml" Id="R6959875343b14599" /><Relationship Type="http://schemas.openxmlformats.org/officeDocument/2006/relationships/worksheet" Target="/xl/worksheets/sheet3.xml" Id="Rda192dfc4cb24a5b" /><Relationship Type="http://schemas.openxmlformats.org/officeDocument/2006/relationships/worksheet" Target="/xl/worksheets/sheet4.xml" Id="Ra87076e05eae4b2f" /><Relationship Type="http://schemas.openxmlformats.org/officeDocument/2006/relationships/worksheet" Target="/xl/worksheets/sheet5.xml" Id="R76644e4a344d42ea" /><Relationship Type="http://schemas.openxmlformats.org/officeDocument/2006/relationships/worksheet" Target="/xl/worksheets/sheet6.xml" Id="R6a82a0c75e624fa2" /><Relationship Type="http://schemas.openxmlformats.org/officeDocument/2006/relationships/worksheet" Target="/xl/worksheets/sheet7.xml" Id="R5e407e8419a649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6c49aa8bf44335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每级经验条上限</a:t>
            </a:r>
          </a:p>
        </c:rich>
      </c:tx>
    </c:title>
    <c:autoTitleDeleted val="0"/>
    <c:plotArea>
      <c:lineChart>
        <c:grouping val="standard"/>
        <c:varyColors val="1"/>
        <c:ser>
          <c:idx val="0"/>
          <c:order val="0"/>
          <c:tx>
            <c:v>下一等级</c:v>
          </c:tx>
          <c:marker>
            <c:symbol val="none"/>
          </c:marker>
          <c:cat>
            <c:numRef>
              <c:f>逐级经验明细!$A$4:$A$63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逐级经验明细!$B$4:$B$63</c:f>
              <c:numCache>
                <c:formatCode>General</c:formatCode>
                <c:ptCount val="6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当前等级经验条上限</c:v>
          </c:tx>
          <c:marker>
            <c:symbol val="none"/>
          </c:marker>
          <c:cat>
            <c:numRef>
              <c:f>逐级经验明细!$A$4:$A$63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逐级经验明细!$C$4:$C$63</c:f>
              <c:numCache>
                <c:formatCode>General</c:formatCode>
                <c:ptCount val="60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1000</c:v>
                </c:pt>
                <c:pt idx="15">
                  <c:v>1100</c:v>
                </c:pt>
                <c:pt idx="16">
                  <c:v>1200</c:v>
                </c:pt>
                <c:pt idx="17">
                  <c:v>1300</c:v>
                </c:pt>
                <c:pt idx="18">
                  <c:v>1400</c:v>
                </c:pt>
                <c:pt idx="19">
                  <c:v>1500</c:v>
                </c:pt>
                <c:pt idx="20">
                  <c:v>1600</c:v>
                </c:pt>
                <c:pt idx="21">
                  <c:v>1700</c:v>
                </c:pt>
                <c:pt idx="22">
                  <c:v>1800</c:v>
                </c:pt>
                <c:pt idx="23">
                  <c:v>1900</c:v>
                </c:pt>
                <c:pt idx="24">
                  <c:v>2000</c:v>
                </c:pt>
                <c:pt idx="25">
                  <c:v>2100</c:v>
                </c:pt>
                <c:pt idx="26">
                  <c:v>2200</c:v>
                </c:pt>
                <c:pt idx="27">
                  <c:v>2300</c:v>
                </c:pt>
                <c:pt idx="28">
                  <c:v>2400</c:v>
                </c:pt>
                <c:pt idx="29">
                  <c:v>2500</c:v>
                </c:pt>
                <c:pt idx="30">
                  <c:v>3500</c:v>
                </c:pt>
                <c:pt idx="31">
                  <c:v>3500</c:v>
                </c:pt>
                <c:pt idx="32">
                  <c:v>3500</c:v>
                </c:pt>
                <c:pt idx="33">
                  <c:v>3500</c:v>
                </c:pt>
                <c:pt idx="34">
                  <c:v>3500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6000</c:v>
                </c:pt>
                <c:pt idx="41">
                  <c:v>6000</c:v>
                </c:pt>
                <c:pt idx="42">
                  <c:v>6000</c:v>
                </c:pt>
                <c:pt idx="43">
                  <c:v>6000</c:v>
                </c:pt>
                <c:pt idx="44">
                  <c:v>6000</c:v>
                </c:pt>
                <c:pt idx="45">
                  <c:v>8000</c:v>
                </c:pt>
                <c:pt idx="46">
                  <c:v>8000</c:v>
                </c:pt>
                <c:pt idx="47">
                  <c:v>8000</c:v>
                </c:pt>
                <c:pt idx="48">
                  <c:v>8000</c:v>
                </c:pt>
                <c:pt idx="49">
                  <c:v>8000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6c49aa8bf4433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xperienceIntervals" displayName="ExperienceIntervals" ref="A3:G12">
  <x:tableColumns count="7">
    <x:tableColumn id="1" name="区间"/>
    <x:tableColumn id="2" name="当前等级起"/>
    <x:tableColumn id="3" name="当前等级止"/>
    <x:tableColumn id="4" name="经验条规则"/>
    <x:tableColumn id="5" name="首级经验"/>
    <x:tableColumn id="6" name="递增步长"/>
    <x:tableColumn id="7" name="确认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ExperienceTable" displayName="LevelExperienceTable" ref="A3:I63">
  <x:tableColumns count="9">
    <x:tableColumn id="1" name="当前等级"/>
    <x:tableColumn id="2" name="下一等级"/>
    <x:tableColumn id="3" name="当前等级经验条上限"/>
    <x:tableColumn id="4" name="从1级到达当前等级的原始经验"/>
    <x:tableColumn id="5" name="最小可投喂经验"/>
    <x:tableColumn id="6" name="溢出进入当前等级经验条"/>
    <x:tableColumn id="7" name="累计紫星曜"/>
    <x:tableColumn id="8" name="累计白星曜"/>
    <x:tableColumn id="9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Examples" displayName="ValidationExamples" ref="A3:J11">
  <x:tableColumns count="10">
    <x:tableColumn id="1" name="当前等级"/>
    <x:tableColumn id="2" name="目标等级"/>
    <x:tableColumn id="3" name="原始经验"/>
    <x:tableColumn id="4" name="最小可投喂经验"/>
    <x:tableColumn id="5" name="紫星曜"/>
    <x:tableColumn id="6" name="白星曜"/>
    <x:tableColumn id="7" name="溢出经验"/>
    <x:tableColumn id="8" name="6-24次数"/>
    <x:tableColumn id="9" name="体力"/>
    <x:tableColumn id="10" name="验证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dexConfigTable" displayName="CodexConfigTable" ref="A3:E16">
  <x:tableColumns count="5">
    <x:tableColumn id="1" name="配置键"/>
    <x:tableColumn id="2" name="值"/>
    <x:tableColumn id="3" name="数据类型"/>
    <x:tableColumn id="4" name="用途"/>
    <x:tableColumn id="5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b74322a455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703fc4e73b4455c" /><Relationship Type="http://schemas.openxmlformats.org/officeDocument/2006/relationships/table" Target="/xl/tables/table2.xml" Id="Ra34bf3e583524d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2480a01ddd149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d73649cc2534644" /></Relationships>
</file>

<file path=xl/worksheets/sheet1.xml><?xml version="1.0" encoding="utf-8"?>
<x:worksheet xmlns:x="http://schemas.openxmlformats.org/spreadsheetml/2006/main">
  <x:sheetFormatPr defaultRowHeight="13.5"/>
  <x:cols>
    <x:col min="1" max="1" width="18" hidden="0" customWidth="1"/>
    <x:col min="2" max="2" width="28" hidden="0" customWidth="1"/>
    <x:col min="3" max="3" width="24" hidden="0" customWidth="1"/>
    <x:col min="4" max="4" width="48" hidden="0" customWidth="1"/>
    <x:col min="5" max="6" width="15" customWidth="1"/>
    <x:col min="7" max="7" width="12" hidden="0" customWidth="1"/>
    <x:col min="8" max="8" width="40" hidden="0" customWidth="1"/>
    <x:col min="5" max="5" width="13" hidden="0" customWidth="1"/>
    <x:col min="6" max="6" width="14" hidden="0" customWidth="1"/>
  </x:cols>
  <x:sheetData>
    <x:row r="1" ht="15" customHeight="1">
      <x:c r="A1" s="47" t="s">
        <x:v>0</x:v>
      </x:c>
      <x:c r="B1" s="48"/>
      <x:c r="C1" s="48"/>
      <x:c r="D1" s="48"/>
      <x:c r="E1" s="48"/>
      <x:c r="F1" s="48"/>
      <x:c r="G1" s="48"/>
      <x:c r="H1" s="48"/>
    </x:row>
    <x:row r="2" ht="13.899999618530273">
      <x:c r="A2" s="33"/>
    </x:row>
    <x:row r="3" ht="27.75">
      <x:c r="A3" s="3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 ht="13.899999618530273">
      <x:c r="A4" s="34" t="s">
        <x:v>9</x:v>
      </x:c>
      <x:c r="B4" s="5">
        <x:v>100</x:v>
      </x:c>
      <x:c r="C4" s="5" t="s">
        <x:v>10</x:v>
      </x:c>
      <x:c r="D4" s="5" t="s">
        <x:v>11</x:v>
      </x:c>
      <x:c r="E4" s="5" t="s">
        <x:v>12</x:v>
      </x:c>
      <x:c r="F4" s="5" t="s">
        <x:v>12</x:v>
      </x:c>
      <x:c r="G4" s="10" t="s">
        <x:v>13</x:v>
      </x:c>
      <x:c r="H4" s="6"/>
    </x:row>
    <x:row r="5" ht="13.899999618530273">
      <x:c r="A5" s="35" t="s">
        <x:v>14</x:v>
      </x:c>
      <x:c r="B5" s="4">
        <x:v>500</x:v>
      </x:c>
      <x:c r="C5" s="4" t="s">
        <x:v>10</x:v>
      </x:c>
      <x:c r="D5" s="4" t="s">
        <x:v>15</x:v>
      </x:c>
      <x:c r="E5" s="4" t="s">
        <x:v>12</x:v>
      </x:c>
      <x:c r="F5" s="4" t="s">
        <x:v>12</x:v>
      </x:c>
      <x:c r="G5" s="11" t="s">
        <x:v>13</x:v>
      </x:c>
      <x:c r="H5" s="7"/>
    </x:row>
    <x:row r="6" ht="27">
      <x:c r="A6" s="35" t="s">
        <x:v>16</x:v>
      </x:c>
      <x:c r="B6" s="4">
        <x:v>1000</x:v>
      </x:c>
      <x:c r="C6" s="4" t="s">
        <x:v>10</x:v>
      </x:c>
      <x:c r="D6" s="4" t="s">
        <x:v>17</x:v>
      </x:c>
      <x:c r="E6" s="4" t="s">
        <x:v>18</x:v>
      </x:c>
      <x:c r="F6" s="4" t="s">
        <x:v>12</x:v>
      </x:c>
      <x:c r="G6" s="11" t="s">
        <x:v>13</x:v>
      </x:c>
      <x:c r="H6" s="7" t="s">
        <x:v>19</x:v>
      </x:c>
    </x:row>
    <x:row r="7" ht="13.899999618530273">
      <x:c r="A7" s="35" t="s">
        <x:v>20</x:v>
      </x:c>
      <x:c r="B7" s="4" t="s">
        <x:v>21</x:v>
      </x:c>
      <x:c r="C7" s="4" t="s">
        <x:v>22</x:v>
      </x:c>
      <x:c r="D7" s="4" t="s">
        <x:v>23</x:v>
      </x:c>
      <x:c r="E7" s="4" t="s">
        <x:v>12</x:v>
      </x:c>
      <x:c r="F7" s="4" t="s">
        <x:v>12</x:v>
      </x:c>
      <x:c r="G7" s="11" t="s">
        <x:v>13</x:v>
      </x:c>
      <x:c r="H7" s="7"/>
    </x:row>
    <x:row r="8" ht="15">
      <x:c r="A8" s="35" t="s">
        <x:v>24</x:v>
      </x:c>
      <x:c r="B8" s="4" t="s">
        <x:v>21</x:v>
      </x:c>
      <x:c r="C8" s="57" t="s">
        <x:v>25</x:v>
      </x:c>
      <x:c r="D8" s="4" t="s">
        <x:v>26</x:v>
      </x:c>
      <x:c r="E8" s="4" t="s">
        <x:v>12</x:v>
      </x:c>
      <x:c r="F8" s="4" t="s">
        <x:v>12</x:v>
      </x:c>
      <x:c r="G8" s="11" t="s">
        <x:v>13</x:v>
      </x:c>
      <x:c r="H8" s="7"/>
    </x:row>
    <x:row r="9" ht="27">
      <x:c r="A9" s="35" t="s">
        <x:v>27</x:v>
      </x:c>
      <x:c r="B9" s="4" t="s">
        <x:v>28</x:v>
      </x:c>
      <x:c r="C9" s="4" t="s">
        <x:v>29</x:v>
      </x:c>
      <x:c r="D9" s="4" t="s">
        <x:v>30</x:v>
      </x:c>
      <x:c r="E9" s="4" t="s">
        <x:v>12</x:v>
      </x:c>
      <x:c r="F9" s="4" t="s">
        <x:v>12</x:v>
      </x:c>
      <x:c r="G9" s="11" t="s">
        <x:v>13</x:v>
      </x:c>
      <x:c r="H9" s="7" t="s">
        <x:v>31</x:v>
      </x:c>
    </x:row>
    <x:row r="10" ht="13.899999618530273">
      <x:c r="A10" s="35" t="s">
        <x:v>32</x:v>
      </x:c>
      <x:c r="B10" s="4" t="s">
        <x:v>33</x:v>
      </x:c>
      <x:c r="C10" s="4" t="s">
        <x:v>34</x:v>
      </x:c>
      <x:c r="D10" s="4" t="s">
        <x:v>35</x:v>
      </x:c>
      <x:c r="E10" s="4" t="s">
        <x:v>12</x:v>
      </x:c>
      <x:c r="F10" s="4" t="s">
        <x:v>12</x:v>
      </x:c>
      <x:c r="G10" s="11" t="s">
        <x:v>13</x:v>
      </x:c>
      <x:c r="H10" s="7" t="s">
        <x:v>36</x:v>
      </x:c>
    </x:row>
    <x:row r="11" ht="13.899999618530273">
      <x:c r="A11" s="35" t="s">
        <x:v>37</x:v>
      </x:c>
      <x:c r="B11" s="4" t="s">
        <x:v>38</x:v>
      </x:c>
      <x:c r="C11" s="4" t="s">
        <x:v>39</x:v>
      </x:c>
      <x:c r="D11" s="4" t="s">
        <x:v>40</x:v>
      </x:c>
      <x:c r="E11" s="4" t="s">
        <x:v>12</x:v>
      </x:c>
      <x:c r="F11" s="4" t="s">
        <x:v>12</x:v>
      </x:c>
      <x:c r="G11" s="11" t="s">
        <x:v>13</x:v>
      </x:c>
      <x:c r="H11" s="7" t="s">
        <x:v>41</x:v>
      </x:c>
    </x:row>
    <x:row r="12" ht="13.899999618530273">
      <x:c r="A12" s="35" t="s">
        <x:v>42</x:v>
      </x:c>
      <x:c r="B12" s="4" t="s">
        <x:v>43</x:v>
      </x:c>
      <x:c r="C12" s="4" t="s">
        <x:v>44</x:v>
      </x:c>
      <x:c r="D12" s="4" t="s">
        <x:v>45</x:v>
      </x:c>
      <x:c r="E12" s="4" t="s">
        <x:v>12</x:v>
      </x:c>
      <x:c r="F12" s="4" t="s">
        <x:v>12</x:v>
      </x:c>
      <x:c r="G12" s="11" t="s">
        <x:v>13</x:v>
      </x:c>
      <x:c r="H12" s="7" t="s">
        <x:v>46</x:v>
      </x:c>
    </x:row>
    <x:row r="13" ht="13.899999618530273">
      <x:c r="A13" s="35" t="str">
        <x:v>突破材料</x:v>
      </x:c>
      <x:c r="B13" s="4" t="str">
        <x:v>纳入养成计划；独立于经验公式</x:v>
      </x:c>
      <x:c r="C13" s="4" t="str">
        <x:v>10/20/30/40/50突破节点</x:v>
      </x:c>
      <x:c r="D13" s="4" t="str">
        <x:v>经验需求继续按逐级经验表计算；瓶子需求默认计入满足“当前等级≤突破节点&lt;目标等级”的节点，起点/终点可在单次完成时纠正</x:v>
      </x:c>
      <x:c r="E13" s="4" t="str">
        <x:v>是（计划页）</x:v>
      </x:c>
      <x:c r="F13" s="4" t="str">
        <x:v>否（经验差值）</x:v>
      </x:c>
      <x:c r="G13" s="11" t="str">
        <x:v>已确认</x:v>
      </x:c>
      <x:c r="H13" s="7" t="str">
        <x:v>具体瓶子消耗见「突破材料规则」；边界纠正仅影响本次材料计算/扣除，不持久化突破状态</x:v>
      </x:c>
    </x:row>
    <x:row r="14" ht="27">
      <x:c r="A14" s="35" t="s">
        <x:v>47</x:v>
      </x:c>
      <x:c r="B14" s="4">
        <x:v>60</x:v>
      </x:c>
      <x:c r="C14" s="4" t="s">
        <x:v>10</x:v>
      </x:c>
      <x:c r="D14" s="4" t="s">
        <x:v>48</x:v>
      </x:c>
      <x:c r="E14" s="4" t="s">
        <x:v>12</x:v>
      </x:c>
      <x:c r="F14" s="4" t="s">
        <x:v>12</x:v>
      </x:c>
      <x:c r="G14" s="11" t="s">
        <x:v>13</x:v>
      </x:c>
      <x:c r="H14" s="7" t="s">
        <x:v>49</x:v>
      </x:c>
    </x:row>
    <x:row r="15" ht="13.899999618530273">
      <x:c r="A15" s="35" t="s">
        <x:v>50</x:v>
      </x:c>
      <x:c r="B15" s="4" t="s">
        <x:v>51</x:v>
      </x:c>
      <x:c r="C15" s="4" t="s">
        <x:v>52</x:v>
      </x:c>
      <x:c r="D15" s="4" t="s">
        <x:v>53</x:v>
      </x:c>
      <x:c r="E15" s="4" t="s">
        <x:v>18</x:v>
      </x:c>
      <x:c r="F15" s="4" t="s">
        <x:v>12</x:v>
      </x:c>
      <x:c r="G15" s="11" t="s">
        <x:v>13</x:v>
      </x:c>
      <x:c r="H15" s="7"/>
    </x:row>
    <x:row r="16" ht="13.899999618530273">
      <x:c r="A16" s="35" t="s">
        <x:v>54</x:v>
      </x:c>
      <x:c r="B16" s="4" t="s">
        <x:v>55</x:v>
      </x:c>
      <x:c r="C16" s="4" t="s">
        <x:v>52</x:v>
      </x:c>
      <x:c r="D16" s="4" t="s">
        <x:v>56</x:v>
      </x:c>
      <x:c r="E16" s="4" t="s">
        <x:v>18</x:v>
      </x:c>
      <x:c r="F16" s="4" t="s">
        <x:v>12</x:v>
      </x:c>
      <x:c r="G16" s="11" t="s">
        <x:v>13</x:v>
      </x:c>
      <x:c r="H16" s="7"/>
    </x:row>
    <x:row r="17" ht="27">
      <x:c r="A17" s="36" t="s">
        <x:v>57</x:v>
      </x:c>
      <x:c r="B17" s="8" t="s">
        <x:v>58</x:v>
      </x:c>
      <x:c r="C17" s="8" t="s">
        <x:v>52</x:v>
      </x:c>
      <x:c r="D17" s="8" t="s">
        <x:v>59</x:v>
      </x:c>
      <x:c r="E17" s="8" t="s">
        <x:v>18</x:v>
      </x:c>
      <x:c r="F17" s="8" t="s">
        <x:v>12</x:v>
      </x:c>
      <x:c r="G17" s="12" t="s">
        <x:v>13</x:v>
      </x:c>
      <x:c r="H17" s="9" t="s">
        <x:v>60</x:v>
      </x:c>
    </x:row>
    <x:row r="18" ht="13.899999618530273">
      <x:c r="A18" s="33"/>
    </x:row>
    <x:row r="19" ht="13.899999618530273">
      <x:c r="A19" s="33"/>
    </x:row>
    <x:row r="20" ht="14.649999618530273">
      <x:c r="A20" s="49" t="s">
        <x:v>61</x:v>
      </x:c>
      <x:c r="B20" s="50"/>
      <x:c r="C20" s="50"/>
      <x:c r="D20" s="50"/>
      <x:c r="E20" s="50"/>
      <x:c r="F20" s="50"/>
      <x:c r="G20" s="50"/>
      <x:c r="H20" s="50"/>
    </x:row>
    <x:row r="21" ht="27.399999618530273">
      <x:c r="A21" s="37" t="s">
        <x:v>62</x:v>
      </x:c>
      <x:c r="B21" s="3" t="s">
        <x:v>63</x:v>
      </x:c>
      <x:c r="C21" s="3" t="s">
        <x:v>64</x:v>
      </x:c>
      <x:c r="E21" s="51" t="s">
        <x:v>65</x:v>
      </x:c>
      <x:c r="F21" s="51"/>
      <x:c r="G21" s="51"/>
      <x:c r="H21" s="51"/>
    </x:row>
    <x:row r="22" ht="40.5">
      <x:c r="A22" s="37" t="s">
        <x:v>66</x:v>
      </x:c>
      <x:c r="B22" s="3" t="s">
        <x:v>67</x:v>
      </x:c>
      <x:c r="C22" s="3" t="s">
        <x:v>68</x:v>
      </x:c>
      <x:c r="E22" s="3" t="s">
        <x:v>69</x:v>
      </x:c>
      <x:c r="F22" s="3"/>
      <x:c r="G22" s="3"/>
      <x:c r="H22" s="3"/>
    </x:row>
    <x:row r="23" ht="67.5">
      <x:c r="A23" s="37" t="s">
        <x:v>70</x:v>
      </x:c>
      <x:c r="B23" s="3" t="s">
        <x:v>71</x:v>
      </x:c>
      <x:c r="C23" s="3" t="s">
        <x:v>72</x:v>
      </x:c>
      <x:c r="E23" s="3" t="s">
        <x:v>73</x:v>
      </x:c>
      <x:c r="F23" s="3"/>
      <x:c r="G23" s="3"/>
      <x:c r="H23" s="3"/>
    </x:row>
    <x:row r="24" ht="81">
      <x:c r="A24" s="37" t="s">
        <x:v>74</x:v>
      </x:c>
      <x:c r="B24" s="3" t="s">
        <x:v>75</x:v>
      </x:c>
      <x:c r="C24" s="3" t="s">
        <x:v>76</x:v>
      </x:c>
      <x:c r="E24" s="3" t="s">
        <x:v>77</x:v>
      </x:c>
      <x:c r="F24" s="3"/>
      <x:c r="G24" s="3"/>
      <x:c r="H24" s="3"/>
    </x:row>
    <x:row r="25" ht="67.5">
      <x:c r="A25" s="37" t="s">
        <x:v>78</x:v>
      </x:c>
      <x:c r="B25" s="3" t="s">
        <x:v>79</x:v>
      </x:c>
      <x:c r="C25" s="3" t="s">
        <x:v>80</x:v>
      </x:c>
      <x:c r="E25" s="3" t="s">
        <x:v>81</x:v>
      </x:c>
      <x:c r="F25" s="3"/>
      <x:c r="G25" s="3"/>
      <x:c r="H25" s="3"/>
    </x:row>
    <x:row r="26" ht="67.5">
      <x:c r="A26" s="37" t="s">
        <x:v>82</x:v>
      </x:c>
      <x:c r="B26" s="3" t="s">
        <x:v>83</x:v>
      </x:c>
      <x:c r="C26" s="3" t="s">
        <x:v>84</x:v>
      </x:c>
      <x:c r="E26" s="3" t="s">
        <x:v>85</x:v>
      </x:c>
      <x:c r="F26" s="3"/>
      <x:c r="G26" s="3"/>
      <x:c r="H26" s="3"/>
    </x:row>
    <x:row r="27" ht="27">
      <x:c r="A27" s="37" t="s">
        <x:v>86</x:v>
      </x:c>
      <x:c r="B27" s="3" t="s">
        <x:v>87</x:v>
      </x:c>
      <x:c r="C27" s="3" t="s">
        <x:v>88</x:v>
      </x:c>
    </x:row>
    <x:row r="28" ht="14.649999618530273">
      <x:c r="A28" s="37" t="s">
        <x:v>57</x:v>
      </x:c>
      <x:c r="B28" s="3" t="s">
        <x:v>89</x:v>
      </x:c>
      <x:c r="C28" s="3" t="s">
        <x:v>90</x:v>
      </x:c>
    </x:row>
    <x:row r="29" ht="14.649999618530273">
      <x:c r="A29" s="38" t="s">
        <x:v>54</x:v>
      </x:c>
      <x:c r="B29" s="13" t="s">
        <x:v>91</x:v>
      </x:c>
      <x:c r="C29" s="13"/>
    </x:row>
    <x:row r="30" ht="13.899999618530273">
      <x:c r="A30" s="33"/>
    </x:row>
    <x:row r="31" ht="13.5" hidden="0" customHeight="1">
      <x:c r="A31" s="117" t="str">
        <x:v>突破材料计算与边界规则</x:v>
      </x:c>
      <x:c r="B31" s="119"/>
      <x:c r="C31" s="119"/>
      <x:c r="D31" s="119"/>
      <x:c r="E31" s="119"/>
      <x:c r="F31" s="119"/>
      <x:c r="G31" s="119"/>
      <x:c r="H31" s="119"/>
    </x:row>
    <x:row r="32" ht="13.5" hidden="0" customHeight="1">
      <x:c r="A32" s="125" t="str">
        <x:v>默认计入条件</x:v>
      </x:c>
      <x:c r="B32" s="126" t="str">
        <x:v>当前等级 ≤ 突破节点 &lt; 目标等级</x:v>
      </x:c>
      <x:c r="C32" s="126" t="str">
        <x:v>养成路线/本次完成</x:v>
      </x:c>
      <x:c r="D32" s="126" t="str">
        <x:v>按节点表累计对应瓶子；不改变经验需求公式</x:v>
      </x:c>
      <x:c r="E32" s="126" t="str">
        <x:v>是</x:v>
      </x:c>
      <x:c r="F32" s="126" t="str">
        <x:v>否</x:v>
      </x:c>
      <x:c r="G32" s="126" t="str">
        <x:v>已确认</x:v>
      </x:c>
      <x:c r="H32" s="126" t="str">
        <x:v>例如40→50默认计入40级突破，不计50级突破</x:v>
      </x:c>
    </x:row>
    <x:row r="33" ht="26.399999618530273" hidden="0" customHeight="1">
      <x:c r="A33" s="125" t="str">
        <x:v>当前节点纠正</x:v>
      </x:c>
      <x:c r="B33" s="126" t="str">
        <x:v>若当前等级恰为突破节点，可标记“当前节点已突破”</x:v>
      </x:c>
      <x:c r="C33" s="126" t="str">
        <x:v>单次材料计算/完成确认</x:v>
      </x:c>
      <x:c r="D33" s="126" t="str">
        <x:v>标记后排除该起始节点的突破材料</x:v>
      </x:c>
      <x:c r="E33" s="126" t="str">
        <x:v>是</x:v>
      </x:c>
      <x:c r="F33" s="126" t="str">
        <x:v>否</x:v>
      </x:c>
      <x:c r="G33" s="126" t="str">
        <x:v>已确认</x:v>
      </x:c>
      <x:c r="H33" s="126" t="str">
        <x:v>用于处理用户已经先突破、但等级仍停在节点级的情况</x:v>
      </x:c>
    </x:row>
    <x:row r="34" ht="26.399999618530273" hidden="0" customHeight="1">
      <x:c r="A34" s="125" t="str">
        <x:v>目标节点纠正</x:v>
      </x:c>
      <x:c r="B34" s="126" t="str">
        <x:v>若目标等级恰为突破节点，可选择“目标节点一并突破”</x:v>
      </x:c>
      <x:c r="C34" s="126" t="str">
        <x:v>单次材料计算/完成确认</x:v>
      </x:c>
      <x:c r="D34" s="126" t="str">
        <x:v>选择后额外计入目标节点的突破材料</x:v>
      </x:c>
      <x:c r="E34" s="126" t="str">
        <x:v>是</x:v>
      </x:c>
      <x:c r="F34" s="126" t="str">
        <x:v>否</x:v>
      </x:c>
      <x:c r="G34" s="126" t="str">
        <x:v>已确认</x:v>
      </x:c>
      <x:c r="H34" s="126" t="str">
        <x:v>默认不突破目标节点，因此默认不计其材料</x:v>
      </x:c>
    </x:row>
    <x:row r="35" ht="13.5" hidden="0" customHeight="1">
      <x:c r="A35" s="125" t="str">
        <x:v>纠正持久化</x:v>
      </x:c>
      <x:c r="B35" s="126" t="str">
        <x:v>不持久化</x:v>
      </x:c>
      <x:c r="C35" s="126" t="str">
        <x:v>当前一次计划执行</x:v>
      </x:c>
      <x:c r="D35" s="126" t="str">
        <x:v>只修正本次预计/扣除材料，不新增星石突破状态字段</x:v>
      </x:c>
      <x:c r="E35" s="126" t="str">
        <x:v>否</x:v>
      </x:c>
      <x:c r="F35" s="126" t="str">
        <x:v>否</x:v>
      </x:c>
      <x:c r="G35" s="126" t="str">
        <x:v>已确认</x:v>
      </x:c>
      <x:c r="H35" s="126" t="str">
        <x:v>下次仍按当前等级与目标等级重新推导默认值</x:v>
      </x:c>
    </x:row>
    <x:row r="36" ht="13.5" hidden="0" customHeight="1">
      <x:c r="A36" s="125" t="str">
        <x:v>40→50示例</x:v>
      </x:c>
      <x:c r="B36" s="126" t="str">
        <x:v>默认：计40级，不计50级</x:v>
      </x:c>
      <x:c r="C36" s="126" t="str">
        <x:v>当前等级正好在突破节点</x:v>
      </x:c>
      <x:c r="D36" s="126" t="str">
        <x:v>若用户标记40级已突破，则40级材料也不计</x:v>
      </x:c>
      <x:c r="E36" s="126" t="str">
        <x:v>是</x:v>
      </x:c>
      <x:c r="F36" s="126" t="str">
        <x:v>否</x:v>
      </x:c>
      <x:c r="G36" s="126" t="str">
        <x:v>已确认</x:v>
      </x:c>
      <x:c r="H36" s="126"/>
    </x:row>
    <x:row r="37" ht="26.399999618530273" hidden="0" customHeight="1">
      <x:c r="A37" s="125" t="str">
        <x:v>43→50示例</x:v>
      </x:c>
      <x:c r="B37" s="126" t="str">
        <x:v>默认：不计突破材料</x:v>
      </x:c>
      <x:c r="C37" s="126" t="str">
        <x:v>当前等级已超过40级节点</x:v>
      </x:c>
      <x:c r="D37" s="126" t="str">
        <x:v>40级视为已完成；若选择50级一并突破，则额外计50级材料</x:v>
      </x:c>
      <x:c r="E37" s="126" t="str">
        <x:v>是</x:v>
      </x:c>
      <x:c r="F37" s="126" t="str">
        <x:v>否</x:v>
      </x:c>
      <x:c r="G37" s="126" t="str">
        <x:v>已确认</x:v>
      </x:c>
      <x:c r="H37" s="126"/>
    </x:row>
    <x:row r="38" ht="13.899999618530273">
      <x:c r="A38" s="33"/>
    </x:row>
    <x:row r="39" ht="13.899999618530273">
      <x:c r="A39" s="33"/>
    </x:row>
    <x:row r="40" ht="13.899999618530273">
      <x:c r="A40" s="33"/>
    </x:row>
    <x:row r="41" ht="13.899999618530273">
      <x:c r="A41" s="33"/>
    </x:row>
    <x:row r="42" ht="13.899999618530273">
      <x:c r="A42" s="33"/>
    </x:row>
    <x:row r="43" ht="13.899999618530273">
      <x:c r="A43" s="33"/>
    </x:row>
    <x:row r="44" ht="13.899999618530273">
      <x:c r="A44" s="33"/>
    </x:row>
    <x:row r="45" ht="13.899999618530273">
      <x:c r="A45" s="33"/>
    </x:row>
    <x:row r="46" ht="13.899999618530273">
      <x:c r="A46" s="33"/>
    </x:row>
    <x:row r="47" ht="13.899999618530273">
      <x:c r="A47" s="33"/>
    </x:row>
    <x:row r="48" ht="13.899999618530273">
      <x:c r="A48" s="33"/>
    </x:row>
    <x:row r="49" ht="13.899999618530273">
      <x:c r="A49" s="33"/>
    </x:row>
    <x:row r="50" ht="13.899999618530273">
      <x:c r="A50" s="33"/>
    </x:row>
    <x:row r="51" ht="13.899999618530273">
      <x:c r="A51" s="33"/>
    </x:row>
    <x:row r="52" ht="13.899999618530273">
      <x:c r="A52" s="33"/>
    </x:row>
    <x:row r="53" ht="13.899999618530273">
      <x:c r="A53" s="33"/>
    </x:row>
    <x:row r="54" ht="13.899999618530273">
      <x:c r="A54" s="33"/>
    </x:row>
    <x:row r="55" ht="13.899999618530273">
      <x:c r="A55" s="33"/>
    </x:row>
    <x:row r="56" ht="13.899999618530273">
      <x:c r="A56" s="33"/>
    </x:row>
    <x:row r="57" ht="13.899999618530273">
      <x:c r="A57" s="33"/>
    </x:row>
    <x:row r="58" ht="13.899999618530273">
      <x:c r="A58" s="33"/>
    </x:row>
    <x:row r="59" ht="13.899999618530273">
      <x:c r="A59" s="33"/>
    </x:row>
    <x:row r="60" ht="13.899999618530273">
      <x:c r="A60" s="33"/>
    </x:row>
    <x:row r="61" ht="13.899999618530273">
      <x:c r="A61" s="33"/>
    </x:row>
    <x:row r="62" ht="13.899999618530273">
      <x:c r="A62" s="33"/>
    </x:row>
    <x:row r="63" ht="13.899999618530273">
      <x:c r="A63" s="33"/>
    </x:row>
    <x:row r="64" ht="13.899999618530273">
      <x:c r="A64" s="33"/>
    </x:row>
    <x:row r="65" ht="13.899999618530273">
      <x:c r="A65" s="33"/>
    </x:row>
    <x:row r="66" ht="13.899999618530273">
      <x:c r="A66" s="33"/>
    </x:row>
    <x:row r="67" ht="13.899999618530273">
      <x:c r="A67" s="33"/>
    </x:row>
    <x:row r="68" ht="13.899999618530273">
      <x:c r="A68" s="33"/>
    </x:row>
    <x:row r="69" ht="13.899999618530273">
      <x:c r="A69" s="33"/>
    </x:row>
    <x:row r="70" ht="13.899999618530273">
      <x:c r="A70" s="33"/>
    </x:row>
    <x:row r="71" ht="13.899999618530273">
      <x:c r="A71" s="33"/>
    </x:row>
    <x:row r="72" ht="13.899999618530273">
      <x:c r="A72" s="33"/>
    </x:row>
    <x:row r="73" ht="13.899999618530273">
      <x:c r="A73" s="33"/>
    </x:row>
    <x:row r="74" ht="13.899999618530273">
      <x:c r="A74" s="33"/>
    </x:row>
    <x:row r="75" ht="13.899999618530273">
      <x:c r="A75" s="33"/>
    </x:row>
    <x:row r="76" ht="13.899999618530273">
      <x:c r="A76" s="33"/>
    </x:row>
    <x:row r="77" ht="13.899999618530273">
      <x:c r="A77" s="33"/>
    </x:row>
    <x:row r="78" ht="13.899999618530273">
      <x:c r="A78" s="33"/>
    </x:row>
    <x:row r="79" ht="13.899999618530273">
      <x:c r="A79" s="33"/>
    </x:row>
    <x:row r="80" ht="13.899999618530273">
      <x:c r="A80" s="33"/>
    </x:row>
    <x:row r="81" ht="13.899999618530273">
      <x:c r="A81" s="33"/>
    </x:row>
    <x:row r="82" ht="13.899999618530273">
      <x:c r="A82" s="33"/>
    </x:row>
    <x:row r="83" ht="13.899999618530273">
      <x:c r="A83" s="33"/>
    </x:row>
    <x:row r="84" ht="13.899999618530273">
      <x:c r="A84" s="33"/>
    </x:row>
    <x:row r="85" ht="13.899999618530273">
      <x:c r="A85" s="33"/>
    </x:row>
    <x:row r="86" ht="13.899999618530273">
      <x:c r="A86" s="33"/>
    </x:row>
    <x:row r="87" ht="13.899999618530273">
      <x:c r="A87" s="33"/>
    </x:row>
    <x:row r="88" ht="13.899999618530273">
      <x:c r="A88" s="33"/>
    </x:row>
    <x:row r="89" ht="13.899999618530273">
      <x:c r="A89" s="33"/>
    </x:row>
    <x:row r="90" ht="13.899999618530273">
      <x:c r="A90" s="33"/>
    </x:row>
    <x:row r="91" ht="13.899999618530273">
      <x:c r="A91" s="33"/>
    </x:row>
    <x:row r="92" ht="13.899999618530273">
      <x:c r="A92" s="33"/>
    </x:row>
    <x:row r="93" ht="13.899999618530273">
      <x:c r="A93" s="33"/>
    </x:row>
    <x:row r="94" ht="13.899999618530273">
      <x:c r="A94" s="33"/>
    </x:row>
    <x:row r="95" ht="13.899999618530273">
      <x:c r="A95" s="33"/>
    </x:row>
    <x:row r="96" ht="13.899999618530273">
      <x:c r="A96" s="33"/>
    </x:row>
    <x:row r="97" ht="13.899999618530273">
      <x:c r="A97" s="33"/>
    </x:row>
    <x:row r="98" ht="13.899999618530273">
      <x:c r="A98" s="33"/>
    </x:row>
    <x:row r="99" ht="13.899999618530273">
      <x:c r="A99" s="33"/>
    </x:row>
    <x:row r="100" ht="13.899999618530273">
      <x:c r="A100" s="33"/>
    </x:row>
    <x:row r="101" ht="13.899999618530273">
      <x:c r="A101" s="33"/>
    </x:row>
    <x:row r="102" ht="13.899999618530273">
      <x:c r="A102" s="33"/>
    </x:row>
    <x:row r="103" ht="13.899999618530273">
      <x:c r="A103" s="33"/>
    </x:row>
    <x:row r="104" ht="13.899999618530273">
      <x:c r="A104" s="33"/>
    </x:row>
    <x:row r="105" ht="13.899999618530273">
      <x:c r="A105" s="33"/>
    </x:row>
    <x:row r="106" ht="13.899999618530273">
      <x:c r="A106" s="33"/>
    </x:row>
    <x:row r="107" ht="13.899999618530273">
      <x:c r="A107" s="33"/>
    </x:row>
    <x:row r="108" ht="13.899999618530273">
      <x:c r="A108" s="33"/>
    </x:row>
    <x:row r="109" ht="13.899999618530273">
      <x:c r="A109" s="33"/>
    </x:row>
    <x:row r="110" ht="13.899999618530273">
      <x:c r="A110" s="33"/>
    </x:row>
    <x:row r="111" ht="13.899999618530273">
      <x:c r="A111" s="33"/>
    </x:row>
    <x:row r="112" ht="13.899999618530273">
      <x:c r="A112" s="33"/>
    </x:row>
    <x:row r="113" ht="13.899999618530273">
      <x:c r="A113" s="33"/>
    </x:row>
    <x:row r="114" ht="13.899999618530273">
      <x:c r="A114" s="33"/>
    </x:row>
    <x:row r="115" ht="13.899999618530273">
      <x:c r="A115" s="33"/>
    </x:row>
    <x:row r="116" ht="13.899999618530273">
      <x:c r="A116" s="33"/>
    </x:row>
    <x:row r="117" ht="13.899999618530273">
      <x:c r="A117" s="33"/>
    </x:row>
    <x:row r="118" ht="13.899999618530273">
      <x:c r="A118" s="33"/>
    </x:row>
    <x:row r="119" ht="13.899999618530273">
      <x:c r="A119" s="33"/>
    </x:row>
    <x:row r="120" ht="13.899999618530273">
      <x:c r="A120" s="33"/>
    </x:row>
    <x:row r="121" ht="13.899999618530273">
      <x:c r="A121" s="33"/>
    </x:row>
    <x:row r="122" ht="13.899999618530273">
      <x:c r="A122" s="33"/>
    </x:row>
    <x:row r="123" ht="13.899999618530273">
      <x:c r="A123" s="33"/>
    </x:row>
    <x:row r="124" ht="13.899999618530273">
      <x:c r="A124" s="33"/>
    </x:row>
    <x:row r="125" ht="13.899999618530273">
      <x:c r="A125" s="33"/>
    </x:row>
    <x:row r="126" ht="13.899999618530273">
      <x:c r="A126" s="33"/>
    </x:row>
    <x:row r="127" ht="13.899999618530273">
      <x:c r="A127" s="33"/>
    </x:row>
    <x:row r="128" ht="13.899999618530273">
      <x:c r="A128" s="33"/>
    </x:row>
    <x:row r="129" ht="13.899999618530273">
      <x:c r="A129" s="33"/>
    </x:row>
    <x:row r="130" ht="13.899999618530273">
      <x:c r="A130" s="33"/>
    </x:row>
    <x:row r="131" ht="13.899999618530273">
      <x:c r="A131" s="33"/>
    </x:row>
    <x:row r="132" ht="13.899999618530273">
      <x:c r="A132" s="33"/>
    </x:row>
    <x:row r="133" ht="13.899999618530273">
      <x:c r="A133" s="33"/>
    </x:row>
    <x:row r="134" ht="13.899999618530273">
      <x:c r="A134" s="33"/>
    </x:row>
    <x:row r="135" ht="13.899999618530273">
      <x:c r="A135" s="33"/>
    </x:row>
    <x:row r="136" ht="13.899999618530273">
      <x:c r="A136" s="33"/>
    </x:row>
    <x:row r="137" ht="13.899999618530273">
      <x:c r="A137" s="33"/>
    </x:row>
    <x:row r="138" ht="13.899999618530273">
      <x:c r="A138" s="33"/>
    </x:row>
    <x:row r="139" ht="13.899999618530273">
      <x:c r="A139" s="33"/>
    </x:row>
    <x:row r="140" ht="13.899999618530273">
      <x:c r="A140" s="33"/>
    </x:row>
    <x:row r="141" ht="13.899999618530273">
      <x:c r="A141" s="33"/>
    </x:row>
    <x:row r="142" ht="13.899999618530273">
      <x:c r="A142" s="33"/>
    </x:row>
    <x:row r="143" ht="13.899999618530273">
      <x:c r="A143" s="33"/>
    </x:row>
    <x:row r="144" ht="13.899999618530273">
      <x:c r="A144" s="33"/>
    </x:row>
    <x:row r="145" ht="13.899999618530273">
      <x:c r="A145" s="33"/>
    </x:row>
    <x:row r="146" ht="13.899999618530273">
      <x:c r="A146" s="33"/>
    </x:row>
    <x:row r="147" ht="13.899999618530273">
      <x:c r="A147" s="33"/>
    </x:row>
    <x:row r="148" ht="13.899999618530273">
      <x:c r="A148" s="33"/>
    </x:row>
    <x:row r="149" ht="13.899999618530273">
      <x:c r="A149" s="33"/>
    </x:row>
    <x:row r="150" ht="13.899999618530273">
      <x:c r="A150" s="33"/>
    </x:row>
    <x:row r="151" ht="13.899999618530273">
      <x:c r="A151" s="33"/>
    </x:row>
    <x:row r="152" ht="13.899999618530273">
      <x:c r="A152" s="33"/>
    </x:row>
    <x:row r="153" ht="13.899999618530273">
      <x:c r="A153" s="33"/>
    </x:row>
    <x:row r="154" ht="13.899999618530273">
      <x:c r="A154" s="33"/>
    </x:row>
    <x:row r="155" ht="13.899999618530273">
      <x:c r="A155" s="33"/>
    </x:row>
    <x:row r="156" ht="13.899999618530273">
      <x:c r="A156" s="33"/>
    </x:row>
    <x:row r="157" ht="13.899999618530273">
      <x:c r="A157" s="33"/>
    </x:row>
    <x:row r="158" ht="13.899999618530273">
      <x:c r="A158" s="33"/>
    </x:row>
    <x:row r="159" ht="13.899999618530273">
      <x:c r="A159" s="33"/>
    </x:row>
    <x:row r="160" ht="13.899999618530273">
      <x:c r="A160" s="33"/>
    </x:row>
    <x:row r="161" ht="13.899999618530273">
      <x:c r="A161" s="33"/>
    </x:row>
    <x:row r="162" ht="13.899999618530273">
      <x:c r="A162" s="33"/>
    </x:row>
    <x:row r="163" ht="13.899999618530273">
      <x:c r="A163" s="33"/>
    </x:row>
    <x:row r="164" ht="13.899999618530273">
      <x:c r="A164" s="33"/>
    </x:row>
    <x:row r="165" ht="13.899999618530273">
      <x:c r="A165" s="33"/>
    </x:row>
    <x:row r="166" ht="13.899999618530273">
      <x:c r="A166" s="33"/>
    </x:row>
    <x:row r="167" ht="13.899999618530273">
      <x:c r="A167" s="33"/>
    </x:row>
    <x:row r="168" ht="13.899999618530273">
      <x:c r="A168" s="33"/>
    </x:row>
    <x:row r="169" ht="13.899999618530273">
      <x:c r="A169" s="33"/>
    </x:row>
    <x:row r="170" ht="13.899999618530273">
      <x:c r="A170" s="33"/>
    </x:row>
    <x:row r="171" ht="13.899999618530273">
      <x:c r="A171" s="33"/>
    </x:row>
    <x:row r="172" ht="13.899999618530273">
      <x:c r="A172" s="33"/>
    </x:row>
    <x:row r="173" ht="13.899999618530273">
      <x:c r="A173" s="33"/>
    </x:row>
    <x:row r="174" ht="13.899999618530273">
      <x:c r="A174" s="33"/>
    </x:row>
    <x:row r="175" ht="13.899999618530273">
      <x:c r="A175" s="33"/>
    </x:row>
    <x:row r="176" ht="13.899999618530273">
      <x:c r="A176" s="33"/>
    </x:row>
    <x:row r="177" ht="13.899999618530273">
      <x:c r="A177" s="33"/>
    </x:row>
    <x:row r="178" ht="13.899999618530273">
      <x:c r="A178" s="33"/>
    </x:row>
    <x:row r="179" ht="13.899999618530273">
      <x:c r="A179" s="33"/>
    </x:row>
    <x:row r="180" ht="13.899999618530273">
      <x:c r="A180" s="33"/>
    </x:row>
    <x:row r="181" ht="13.899999618530273">
      <x:c r="A181" s="33"/>
    </x:row>
    <x:row r="182" ht="13.899999618530273">
      <x:c r="A182" s="33"/>
    </x:row>
    <x:row r="183" ht="13.899999618530273">
      <x:c r="A183" s="33"/>
    </x:row>
    <x:row r="184" ht="13.899999618530273">
      <x:c r="A184" s="33"/>
    </x:row>
    <x:row r="185" ht="13.899999618530273">
      <x:c r="A185" s="33"/>
    </x:row>
    <x:row r="186" ht="13.899999618530273">
      <x:c r="A186" s="33"/>
    </x:row>
    <x:row r="187" ht="13.899999618530273">
      <x:c r="A187" s="33"/>
    </x:row>
    <x:row r="188" ht="13.899999618530273">
      <x:c r="A188" s="33"/>
    </x:row>
    <x:row r="189" ht="13.899999618530273">
      <x:c r="A189" s="33"/>
    </x:row>
    <x:row r="190" ht="13.899999618530273">
      <x:c r="A190" s="33"/>
    </x:row>
    <x:row r="191" ht="13.899999618530273">
      <x:c r="A191" s="33"/>
    </x:row>
    <x:row r="192" ht="13.899999618530273">
      <x:c r="A192" s="33"/>
    </x:row>
    <x:row r="193" ht="13.899999618530273">
      <x:c r="A193" s="33"/>
    </x:row>
    <x:row r="194" ht="13.899999618530273">
      <x:c r="A194" s="33"/>
    </x:row>
    <x:row r="195" ht="13.899999618530273">
      <x:c r="A195" s="33"/>
    </x:row>
    <x:row r="196" ht="13.899999618530273">
      <x:c r="A196" s="33"/>
    </x:row>
    <x:row r="197" ht="13.899999618530273">
      <x:c r="A197" s="33"/>
    </x:row>
    <x:row r="198" ht="13.899999618530273">
      <x:c r="A198" s="33"/>
    </x:row>
    <x:row r="199" ht="13.899999618530273">
      <x:c r="A199" s="33"/>
    </x:row>
    <x:row r="200" ht="13.899999618530273">
      <x:c r="A200" s="33"/>
    </x:row>
  </x:sheetData>
  <x:mergeCells>
    <x:mergeCell ref="A1:H1"/>
    <x:mergeCell ref="A20:H20"/>
    <x:mergeCell ref="E21:H21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3" width="12" customWidth="1"/>
    <x:col min="4" max="4" width="16" customWidth="1"/>
    <x:col min="5" max="6" width="12" customWidth="1"/>
    <x:col min="7" max="7" width="30" customWidth="1"/>
  </x:cols>
  <x:sheetData>
    <x:row r="1" ht="18.75">
      <x:c r="A1" s="47" t="s">
        <x:v>92</x:v>
      </x:c>
      <x:c r="B1" s="52"/>
      <x:c r="C1" s="52"/>
      <x:c r="D1" s="52"/>
      <x:c r="E1" s="52"/>
      <x:c r="F1" s="52"/>
      <x:c r="G1" s="52"/>
    </x:row>
    <x:row r="2" ht="13.899999618530273">
      <x:c r="A2" s="33"/>
    </x:row>
    <x:row r="3" ht="14.649999618530273">
      <x:c r="A3" s="39" t="s">
        <x:v>93</x:v>
      </x:c>
      <x:c r="B3" s="14" t="s">
        <x:v>94</x:v>
      </x:c>
      <x:c r="C3" s="14" t="s">
        <x:v>95</x:v>
      </x:c>
      <x:c r="D3" s="14" t="s">
        <x:v>96</x:v>
      </x:c>
      <x:c r="E3" s="14" t="s">
        <x:v>97</x:v>
      </x:c>
      <x:c r="F3" s="14" t="s">
        <x:v>98</x:v>
      </x:c>
      <x:c r="G3" s="14" t="s">
        <x:v>99</x:v>
      </x:c>
    </x:row>
    <x:row r="4" ht="13.899999618530273">
      <x:c r="A4" s="34" t="s">
        <x:v>100</x:v>
      </x:c>
      <x:c r="B4" s="17">
        <x:v>1</x:v>
      </x:c>
      <x:c r="C4" s="17">
        <x:v>10</x:v>
      </x:c>
      <x:c r="D4" s="17" t="s">
        <x:v>101</x:v>
      </x:c>
      <x:c r="E4" s="17">
        <x:v>100</x:v>
      </x:c>
      <x:c r="F4" s="17">
        <x:v>50</x:v>
      </x:c>
      <x:c r="G4" s="18" t="s">
        <x:v>102</x:v>
      </x:c>
    </x:row>
    <x:row r="5" ht="13.899999618530273">
      <x:c r="A5" s="35" t="s">
        <x:v>103</x:v>
      </x:c>
      <x:c r="B5" s="3">
        <x:v>11</x:v>
      </x:c>
      <x:c r="C5" s="3">
        <x:v>20</x:v>
      </x:c>
      <x:c r="D5" s="3" t="s">
        <x:v>101</x:v>
      </x:c>
      <x:c r="E5" s="3">
        <x:v>600</x:v>
      </x:c>
      <x:c r="F5" s="3">
        <x:v>100</x:v>
      </x:c>
      <x:c r="G5" s="19" t="s">
        <x:v>104</x:v>
      </x:c>
    </x:row>
    <x:row r="6" ht="13.899999618530273">
      <x:c r="A6" s="35" t="s">
        <x:v>105</x:v>
      </x:c>
      <x:c r="B6" s="3">
        <x:v>21</x:v>
      </x:c>
      <x:c r="C6" s="3">
        <x:v>30</x:v>
      </x:c>
      <x:c r="D6" s="3" t="s">
        <x:v>101</x:v>
      </x:c>
      <x:c r="E6" s="3">
        <x:v>1600</x:v>
      </x:c>
      <x:c r="F6" s="3">
        <x:v>100</x:v>
      </x:c>
      <x:c r="G6" s="19" t="s">
        <x:v>106</x:v>
      </x:c>
    </x:row>
    <x:row r="7" ht="13.899999618530273">
      <x:c r="A7" s="35" t="s">
        <x:v>107</x:v>
      </x:c>
      <x:c r="B7" s="3">
        <x:v>31</x:v>
      </x:c>
      <x:c r="C7" s="3">
        <x:v>35</x:v>
      </x:c>
      <x:c r="D7" s="3" t="s">
        <x:v>108</x:v>
      </x:c>
      <x:c r="E7" s="3">
        <x:v>3500</x:v>
      </x:c>
      <x:c r="F7" s="3">
        <x:v>0</x:v>
      </x:c>
      <x:c r="G7" s="19" t="s">
        <x:v>109</x:v>
      </x:c>
    </x:row>
    <x:row r="8" ht="13.899999618530273">
      <x:c r="A8" s="35" t="s">
        <x:v>110</x:v>
      </x:c>
      <x:c r="B8" s="3">
        <x:v>36</x:v>
      </x:c>
      <x:c r="C8" s="3">
        <x:v>40</x:v>
      </x:c>
      <x:c r="D8" s="3" t="s">
        <x:v>108</x:v>
      </x:c>
      <x:c r="E8" s="3">
        <x:v>5000</x:v>
      </x:c>
      <x:c r="F8" s="3">
        <x:v>0</x:v>
      </x:c>
      <x:c r="G8" s="19" t="s">
        <x:v>111</x:v>
      </x:c>
    </x:row>
    <x:row r="9" ht="13.899999618530273">
      <x:c r="A9" s="35" t="s">
        <x:v>112</x:v>
      </x:c>
      <x:c r="B9" s="3">
        <x:v>41</x:v>
      </x:c>
      <x:c r="C9" s="3">
        <x:v>45</x:v>
      </x:c>
      <x:c r="D9" s="3" t="s">
        <x:v>108</x:v>
      </x:c>
      <x:c r="E9" s="3">
        <x:v>6000</x:v>
      </x:c>
      <x:c r="F9" s="3">
        <x:v>0</x:v>
      </x:c>
      <x:c r="G9" s="19" t="s">
        <x:v>113</x:v>
      </x:c>
    </x:row>
    <x:row r="10" ht="13.899999618530273">
      <x:c r="A10" s="35" t="s">
        <x:v>114</x:v>
      </x:c>
      <x:c r="B10" s="3">
        <x:v>46</x:v>
      </x:c>
      <x:c r="C10" s="3">
        <x:v>50</x:v>
      </x:c>
      <x:c r="D10" s="3" t="s">
        <x:v>108</x:v>
      </x:c>
      <x:c r="E10" s="3">
        <x:v>8000</x:v>
      </x:c>
      <x:c r="F10" s="3">
        <x:v>0</x:v>
      </x:c>
      <x:c r="G10" s="19" t="s">
        <x:v>115</x:v>
      </x:c>
    </x:row>
    <x:row r="11" ht="13.899999618530273">
      <x:c r="A11" s="35" t="s">
        <x:v>116</x:v>
      </x:c>
      <x:c r="B11" s="3">
        <x:v>51</x:v>
      </x:c>
      <x:c r="C11" s="3">
        <x:v>55</x:v>
      </x:c>
      <x:c r="D11" s="3" t="s">
        <x:v>108</x:v>
      </x:c>
      <x:c r="E11" s="3">
        <x:v>10000</x:v>
      </x:c>
      <x:c r="F11" s="3">
        <x:v>0</x:v>
      </x:c>
      <x:c r="G11" s="19" t="s">
        <x:v>117</x:v>
      </x:c>
    </x:row>
    <x:row r="12" ht="13.899999618530273">
      <x:c r="A12" s="36" t="s">
        <x:v>118</x:v>
      </x:c>
      <x:c r="B12" s="13">
        <x:v>56</x:v>
      </x:c>
      <x:c r="C12" s="13">
        <x:v>60</x:v>
      </x:c>
      <x:c r="D12" s="13" t="s">
        <x:v>108</x:v>
      </x:c>
      <x:c r="E12" s="13">
        <x:v>15000</x:v>
      </x:c>
      <x:c r="F12" s="13">
        <x:v>0</x:v>
      </x:c>
      <x:c r="G12" s="20" t="s">
        <x:v>119</x:v>
      </x:c>
    </x:row>
    <x:row r="13" ht="13.899999618530273">
      <x:c r="A13" s="33"/>
    </x:row>
    <x:row r="14" ht="13.899999618530273">
      <x:c r="A14" s="33"/>
    </x:row>
    <x:row r="15" ht="13.899999618530273">
      <x:c r="A15" s="33"/>
    </x:row>
    <x:row r="16" ht="13.899999618530273">
      <x:c r="A16" s="33"/>
    </x:row>
    <x:row r="17" ht="13.899999618530273">
      <x:c r="A17" s="33"/>
    </x:row>
    <x:row r="18" ht="13.899999618530273">
      <x:c r="A18" s="33"/>
    </x:row>
    <x:row r="19" ht="13.899999618530273">
      <x:c r="A19" s="33"/>
    </x:row>
    <x:row r="20" ht="13.899999618530273">
      <x:c r="A20" s="33"/>
    </x:row>
    <x:row r="21" ht="13.899999618530273">
      <x:c r="A21" s="33"/>
    </x:row>
    <x:row r="22" ht="13.899999618530273">
      <x:c r="A22" s="33"/>
    </x:row>
    <x:row r="23" ht="13.899999618530273">
      <x:c r="A23" s="33"/>
    </x:row>
    <x:row r="24" ht="13.899999618530273">
      <x:c r="A24" s="33"/>
    </x:row>
    <x:row r="25" ht="13.899999618530273">
      <x:c r="A25" s="33"/>
    </x:row>
    <x:row r="26" ht="13.899999618530273">
      <x:c r="A26" s="33"/>
    </x:row>
    <x:row r="27" ht="13.899999618530273">
      <x:c r="A27" s="33"/>
    </x:row>
    <x:row r="28" ht="13.899999618530273">
      <x:c r="A28" s="33"/>
    </x:row>
    <x:row r="29" ht="13.899999618530273">
      <x:c r="A29" s="33"/>
    </x:row>
    <x:row r="30" ht="13.899999618530273">
      <x:c r="A30" s="33"/>
    </x:row>
    <x:row r="31" ht="13.899999618530273">
      <x:c r="A31" s="33"/>
    </x:row>
    <x:row r="32" ht="13.899999618530273">
      <x:c r="A32" s="33"/>
    </x:row>
    <x:row r="33" ht="13.899999618530273">
      <x:c r="A33" s="33"/>
    </x:row>
    <x:row r="34" ht="13.899999618530273">
      <x:c r="A34" s="33"/>
    </x:row>
    <x:row r="35" ht="13.899999618530273">
      <x:c r="A35" s="33"/>
    </x:row>
    <x:row r="36" ht="13.899999618530273">
      <x:c r="A36" s="33"/>
    </x:row>
    <x:row r="37" ht="13.899999618530273">
      <x:c r="A37" s="33"/>
    </x:row>
    <x:row r="38" ht="13.899999618530273">
      <x:c r="A38" s="33"/>
    </x:row>
    <x:row r="39" ht="13.899999618530273">
      <x:c r="A39" s="33"/>
    </x:row>
    <x:row r="40" ht="13.899999618530273">
      <x:c r="A40" s="33"/>
    </x:row>
    <x:row r="41" ht="13.899999618530273">
      <x:c r="A41" s="33"/>
    </x:row>
    <x:row r="42" ht="13.899999618530273">
      <x:c r="A42" s="33"/>
    </x:row>
    <x:row r="43" ht="13.899999618530273">
      <x:c r="A43" s="33"/>
    </x:row>
    <x:row r="44" ht="13.899999618530273">
      <x:c r="A44" s="33"/>
    </x:row>
    <x:row r="45" ht="13.899999618530273">
      <x:c r="A45" s="33"/>
    </x:row>
    <x:row r="46" ht="13.899999618530273">
      <x:c r="A46" s="33"/>
    </x:row>
    <x:row r="47" ht="13.899999618530273">
      <x:c r="A47" s="33"/>
    </x:row>
    <x:row r="48" ht="13.899999618530273">
      <x:c r="A48" s="33"/>
    </x:row>
    <x:row r="49" ht="13.899999618530273">
      <x:c r="A49" s="33"/>
    </x:row>
    <x:row r="50" ht="13.899999618530273">
      <x:c r="A50" s="33"/>
    </x:row>
    <x:row r="51" ht="13.899999618530273">
      <x:c r="A51" s="33"/>
    </x:row>
    <x:row r="52" ht="13.899999618530273">
      <x:c r="A52" s="33"/>
    </x:row>
    <x:row r="53" ht="13.899999618530273">
      <x:c r="A53" s="33"/>
    </x:row>
    <x:row r="54" ht="13.899999618530273">
      <x:c r="A54" s="33"/>
    </x:row>
    <x:row r="55" ht="13.899999618530273">
      <x:c r="A55" s="33"/>
    </x:row>
    <x:row r="56" ht="13.899999618530273">
      <x:c r="A56" s="33"/>
    </x:row>
    <x:row r="57" ht="13.899999618530273">
      <x:c r="A57" s="33"/>
    </x:row>
    <x:row r="58" ht="13.899999618530273">
      <x:c r="A58" s="33"/>
    </x:row>
    <x:row r="59" ht="13.899999618530273">
      <x:c r="A59" s="33"/>
    </x:row>
    <x:row r="60" ht="13.899999618530273">
      <x:c r="A60" s="33"/>
    </x:row>
    <x:row r="61" ht="13.899999618530273">
      <x:c r="A61" s="33"/>
    </x:row>
    <x:row r="62" ht="13.899999618530273">
      <x:c r="A62" s="33"/>
    </x:row>
    <x:row r="63" ht="13.899999618530273">
      <x:c r="A63" s="33"/>
    </x:row>
    <x:row r="64" ht="13.899999618530273">
      <x:c r="A64" s="33"/>
    </x:row>
    <x:row r="65" ht="13.899999618530273">
      <x:c r="A65" s="33"/>
    </x:row>
    <x:row r="66" ht="13.899999618530273">
      <x:c r="A66" s="33"/>
    </x:row>
    <x:row r="67" ht="13.899999618530273">
      <x:c r="A67" s="33"/>
    </x:row>
    <x:row r="68" ht="13.899999618530273">
      <x:c r="A68" s="33"/>
    </x:row>
    <x:row r="69" ht="13.899999618530273">
      <x:c r="A69" s="33"/>
    </x:row>
    <x:row r="70" ht="13.899999618530273">
      <x:c r="A70" s="33"/>
    </x:row>
    <x:row r="71" ht="13.899999618530273">
      <x:c r="A71" s="33"/>
    </x:row>
    <x:row r="72" ht="13.899999618530273">
      <x:c r="A72" s="33"/>
    </x:row>
    <x:row r="73" ht="13.899999618530273">
      <x:c r="A73" s="33"/>
    </x:row>
    <x:row r="74" ht="13.899999618530273">
      <x:c r="A74" s="33"/>
    </x:row>
    <x:row r="75" ht="13.899999618530273">
      <x:c r="A75" s="33"/>
    </x:row>
    <x:row r="76" ht="13.899999618530273">
      <x:c r="A76" s="33"/>
    </x:row>
    <x:row r="77" ht="13.899999618530273">
      <x:c r="A77" s="33"/>
    </x:row>
    <x:row r="78" ht="13.899999618530273">
      <x:c r="A78" s="33"/>
    </x:row>
    <x:row r="79" ht="13.899999618530273">
      <x:c r="A79" s="33"/>
    </x:row>
    <x:row r="80" ht="13.899999618530273">
      <x:c r="A80" s="33"/>
    </x:row>
    <x:row r="81" ht="13.899999618530273">
      <x:c r="A81" s="33"/>
    </x:row>
    <x:row r="82" ht="13.899999618530273">
      <x:c r="A82" s="33"/>
    </x:row>
    <x:row r="83" ht="13.899999618530273">
      <x:c r="A83" s="33"/>
    </x:row>
    <x:row r="84" ht="13.899999618530273">
      <x:c r="A84" s="33"/>
    </x:row>
    <x:row r="85" ht="13.899999618530273">
      <x:c r="A85" s="33"/>
    </x:row>
    <x:row r="86" ht="13.899999618530273">
      <x:c r="A86" s="33"/>
    </x:row>
    <x:row r="87" ht="13.899999618530273">
      <x:c r="A87" s="33"/>
    </x:row>
    <x:row r="88" ht="13.899999618530273">
      <x:c r="A88" s="33"/>
    </x:row>
    <x:row r="89" ht="13.899999618530273">
      <x:c r="A89" s="33"/>
    </x:row>
    <x:row r="90" ht="13.899999618530273">
      <x:c r="A90" s="33"/>
    </x:row>
    <x:row r="91" ht="13.899999618530273">
      <x:c r="A91" s="33"/>
    </x:row>
    <x:row r="92" ht="13.899999618530273">
      <x:c r="A92" s="33"/>
    </x:row>
    <x:row r="93" ht="13.899999618530273">
      <x:c r="A93" s="33"/>
    </x:row>
    <x:row r="94" ht="13.899999618530273">
      <x:c r="A94" s="33"/>
    </x:row>
    <x:row r="95" ht="13.899999618530273">
      <x:c r="A95" s="33"/>
    </x:row>
    <x:row r="96" ht="13.899999618530273">
      <x:c r="A96" s="33"/>
    </x:row>
    <x:row r="97" ht="13.899999618530273">
      <x:c r="A97" s="33"/>
    </x:row>
    <x:row r="98" ht="13.899999618530273">
      <x:c r="A98" s="33"/>
    </x:row>
    <x:row r="99" ht="13.899999618530273">
      <x:c r="A99" s="33"/>
    </x:row>
    <x:row r="100" ht="13.899999618530273">
      <x:c r="A100" s="33"/>
    </x:row>
    <x:row r="101" ht="13.899999618530273">
      <x:c r="A101" s="33"/>
    </x:row>
    <x:row r="102" ht="13.899999618530273">
      <x:c r="A102" s="33"/>
    </x:row>
    <x:row r="103" ht="13.899999618530273">
      <x:c r="A103" s="33"/>
    </x:row>
    <x:row r="104" ht="13.899999618530273">
      <x:c r="A104" s="33"/>
    </x:row>
    <x:row r="105" ht="13.899999618530273">
      <x:c r="A105" s="33"/>
    </x:row>
    <x:row r="106" ht="13.899999618530273">
      <x:c r="A106" s="33"/>
    </x:row>
    <x:row r="107" ht="13.899999618530273">
      <x:c r="A107" s="33"/>
    </x:row>
    <x:row r="108" ht="13.899999618530273">
      <x:c r="A108" s="33"/>
    </x:row>
    <x:row r="109" ht="13.899999618530273">
      <x:c r="A109" s="33"/>
    </x:row>
    <x:row r="110" ht="13.899999618530273">
      <x:c r="A110" s="33"/>
    </x:row>
    <x:row r="111" ht="13.899999618530273">
      <x:c r="A111" s="33"/>
    </x:row>
    <x:row r="112" ht="13.899999618530273">
      <x:c r="A112" s="33"/>
    </x:row>
    <x:row r="113" ht="13.899999618530273">
      <x:c r="A113" s="33"/>
    </x:row>
    <x:row r="114" ht="13.899999618530273">
      <x:c r="A114" s="33"/>
    </x:row>
    <x:row r="115" ht="13.899999618530273">
      <x:c r="A115" s="33"/>
    </x:row>
    <x:row r="116" ht="13.899999618530273">
      <x:c r="A116" s="33"/>
    </x:row>
    <x:row r="117" ht="13.899999618530273">
      <x:c r="A117" s="33"/>
    </x:row>
    <x:row r="118" ht="13.899999618530273">
      <x:c r="A118" s="33"/>
    </x:row>
    <x:row r="119" ht="13.899999618530273">
      <x:c r="A119" s="33"/>
    </x:row>
    <x:row r="120" ht="13.899999618530273">
      <x:c r="A120" s="33"/>
    </x:row>
    <x:row r="121" ht="13.899999618530273">
      <x:c r="A121" s="33"/>
    </x:row>
    <x:row r="122" ht="13.899999618530273">
      <x:c r="A122" s="33"/>
    </x:row>
    <x:row r="123" ht="13.899999618530273">
      <x:c r="A123" s="33"/>
    </x:row>
    <x:row r="124" ht="13.899999618530273">
      <x:c r="A124" s="33"/>
    </x:row>
    <x:row r="125" ht="13.899999618530273">
      <x:c r="A125" s="33"/>
    </x:row>
    <x:row r="126" ht="13.899999618530273">
      <x:c r="A126" s="33"/>
    </x:row>
    <x:row r="127" ht="13.899999618530273">
      <x:c r="A127" s="33"/>
    </x:row>
    <x:row r="128" ht="13.899999618530273">
      <x:c r="A128" s="33"/>
    </x:row>
    <x:row r="129" ht="13.899999618530273">
      <x:c r="A129" s="33"/>
    </x:row>
    <x:row r="130" ht="13.899999618530273">
      <x:c r="A130" s="33"/>
    </x:row>
    <x:row r="131" ht="13.899999618530273">
      <x:c r="A131" s="33"/>
    </x:row>
    <x:row r="132" ht="13.899999618530273">
      <x:c r="A132" s="33"/>
    </x:row>
    <x:row r="133" ht="13.899999618530273">
      <x:c r="A133" s="33"/>
    </x:row>
    <x:row r="134" ht="13.899999618530273">
      <x:c r="A134" s="33"/>
    </x:row>
    <x:row r="135" ht="13.899999618530273">
      <x:c r="A135" s="33"/>
    </x:row>
    <x:row r="136" ht="13.899999618530273">
      <x:c r="A136" s="33"/>
    </x:row>
    <x:row r="137" ht="13.899999618530273">
      <x:c r="A137" s="33"/>
    </x:row>
    <x:row r="138" ht="13.899999618530273">
      <x:c r="A138" s="33"/>
    </x:row>
    <x:row r="139" ht="13.899999618530273">
      <x:c r="A139" s="33"/>
    </x:row>
    <x:row r="140" ht="13.899999618530273">
      <x:c r="A140" s="33"/>
    </x:row>
    <x:row r="141" ht="13.899999618530273">
      <x:c r="A141" s="33"/>
    </x:row>
    <x:row r="142" ht="13.899999618530273">
      <x:c r="A142" s="33"/>
    </x:row>
    <x:row r="143" ht="13.899999618530273">
      <x:c r="A143" s="33"/>
    </x:row>
    <x:row r="144" ht="13.899999618530273">
      <x:c r="A144" s="33"/>
    </x:row>
    <x:row r="145" ht="13.899999618530273">
      <x:c r="A145" s="33"/>
    </x:row>
    <x:row r="146" ht="13.899999618530273">
      <x:c r="A146" s="33"/>
    </x:row>
    <x:row r="147" ht="13.899999618530273">
      <x:c r="A147" s="33"/>
    </x:row>
    <x:row r="148" ht="13.899999618530273">
      <x:c r="A148" s="33"/>
    </x:row>
    <x:row r="149" ht="13.899999618530273">
      <x:c r="A149" s="33"/>
    </x:row>
    <x:row r="150" ht="13.899999618530273">
      <x:c r="A150" s="33"/>
    </x:row>
    <x:row r="151" ht="13.899999618530273">
      <x:c r="A151" s="33"/>
    </x:row>
    <x:row r="152" ht="13.899999618530273">
      <x:c r="A152" s="33"/>
    </x:row>
    <x:row r="153" ht="13.899999618530273">
      <x:c r="A153" s="33"/>
    </x:row>
    <x:row r="154" ht="13.899999618530273">
      <x:c r="A154" s="33"/>
    </x:row>
    <x:row r="155" ht="13.899999618530273">
      <x:c r="A155" s="33"/>
    </x:row>
    <x:row r="156" ht="13.899999618530273">
      <x:c r="A156" s="33"/>
    </x:row>
    <x:row r="157" ht="13.899999618530273">
      <x:c r="A157" s="33"/>
    </x:row>
    <x:row r="158" ht="13.899999618530273">
      <x:c r="A158" s="33"/>
    </x:row>
    <x:row r="159" ht="13.899999618530273">
      <x:c r="A159" s="33"/>
    </x:row>
    <x:row r="160" ht="13.899999618530273">
      <x:c r="A160" s="33"/>
    </x:row>
    <x:row r="161" ht="13.899999618530273">
      <x:c r="A161" s="33"/>
    </x:row>
    <x:row r="162" ht="13.899999618530273">
      <x:c r="A162" s="33"/>
    </x:row>
    <x:row r="163" ht="13.899999618530273">
      <x:c r="A163" s="33"/>
    </x:row>
    <x:row r="164" ht="13.899999618530273">
      <x:c r="A164" s="33"/>
    </x:row>
    <x:row r="165" ht="13.899999618530273">
      <x:c r="A165" s="33"/>
    </x:row>
    <x:row r="166" ht="13.899999618530273">
      <x:c r="A166" s="33"/>
    </x:row>
    <x:row r="167" ht="13.899999618530273">
      <x:c r="A167" s="33"/>
    </x:row>
    <x:row r="168" ht="13.899999618530273">
      <x:c r="A168" s="33"/>
    </x:row>
    <x:row r="169" ht="13.899999618530273">
      <x:c r="A169" s="33"/>
    </x:row>
    <x:row r="170" ht="13.899999618530273">
      <x:c r="A170" s="33"/>
    </x:row>
    <x:row r="171" ht="13.899999618530273">
      <x:c r="A171" s="33"/>
    </x:row>
    <x:row r="172" ht="13.899999618530273">
      <x:c r="A172" s="33"/>
    </x:row>
    <x:row r="173" ht="13.899999618530273">
      <x:c r="A173" s="33"/>
    </x:row>
    <x:row r="174" ht="13.899999618530273">
      <x:c r="A174" s="33"/>
    </x:row>
    <x:row r="175" ht="13.899999618530273">
      <x:c r="A175" s="33"/>
    </x:row>
    <x:row r="176" ht="13.899999618530273">
      <x:c r="A176" s="33"/>
    </x:row>
    <x:row r="177" ht="13.899999618530273">
      <x:c r="A177" s="33"/>
    </x:row>
    <x:row r="178" ht="13.899999618530273">
      <x:c r="A178" s="33"/>
    </x:row>
    <x:row r="179" ht="13.899999618530273">
      <x:c r="A179" s="33"/>
    </x:row>
    <x:row r="180" ht="13.899999618530273">
      <x:c r="A180" s="33"/>
    </x:row>
    <x:row r="181" ht="13.899999618530273">
      <x:c r="A181" s="33"/>
    </x:row>
    <x:row r="182" ht="13.899999618530273">
      <x:c r="A182" s="33"/>
    </x:row>
    <x:row r="183" ht="13.899999618530273">
      <x:c r="A183" s="33"/>
    </x:row>
    <x:row r="184" ht="13.899999618530273">
      <x:c r="A184" s="33"/>
    </x:row>
    <x:row r="185" ht="13.899999618530273">
      <x:c r="A185" s="33"/>
    </x:row>
    <x:row r="186" ht="13.899999618530273">
      <x:c r="A186" s="33"/>
    </x:row>
    <x:row r="187" ht="13.899999618530273">
      <x:c r="A187" s="33"/>
    </x:row>
    <x:row r="188" ht="13.899999618530273">
      <x:c r="A188" s="33"/>
    </x:row>
    <x:row r="189" ht="13.899999618530273">
      <x:c r="A189" s="33"/>
    </x:row>
    <x:row r="190" ht="13.899999618530273">
      <x:c r="A190" s="33"/>
    </x:row>
    <x:row r="191" ht="13.899999618530273">
      <x:c r="A191" s="33"/>
    </x:row>
    <x:row r="192" ht="13.899999618530273">
      <x:c r="A192" s="33"/>
    </x:row>
    <x:row r="193" ht="13.899999618530273">
      <x:c r="A193" s="33"/>
    </x:row>
    <x:row r="194" ht="13.899999618530273">
      <x:c r="A194" s="33"/>
    </x:row>
    <x:row r="195" ht="13.899999618530273">
      <x:c r="A195" s="33"/>
    </x:row>
    <x:row r="196" ht="13.899999618530273">
      <x:c r="A196" s="33"/>
    </x:row>
    <x:row r="197" ht="13.899999618530273">
      <x:c r="A197" s="33"/>
    </x:row>
    <x:row r="198" ht="13.899999618530273">
      <x:c r="A198" s="33"/>
    </x:row>
    <x:row r="199" ht="13.899999618530273">
      <x:c r="A199" s="33"/>
    </x:row>
    <x:row r="200" ht="13.899999618530273">
      <x:c r="A200" s="33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0b74322a4554e91"/>
  </x:tableParts>
</x:worksheet>
</file>

<file path=xl/worksheets/sheet3.xml><?xml version="1.0" encoding="utf-8"?>
<x:worksheet xmlns:x="http://schemas.openxmlformats.org/spreadsheetml/2006/main">
  <x:sheetFormatPr defaultRowHeight="13.5"/>
  <x:cols>
    <x:col min="1" max="2" width="11" customWidth="1"/>
    <x:col min="3" max="3" width="18" customWidth="1"/>
    <x:col min="4" max="4" width="22" customWidth="1"/>
    <x:col min="5" max="5" width="18" customWidth="1"/>
    <x:col min="6" max="6" width="22" customWidth="1"/>
    <x:col min="7" max="8" width="13" customWidth="1"/>
    <x:col min="9" max="9" width="34" customWidth="1"/>
  </x:cols>
  <x:sheetData>
    <x:row r="1" ht="18.75">
      <x:c r="A1" s="53" t="s">
        <x:v>120</x:v>
      </x:c>
      <x:c r="B1" s="54"/>
      <x:c r="C1" s="54"/>
      <x:c r="D1" s="54"/>
      <x:c r="E1" s="54"/>
      <x:c r="F1" s="54"/>
      <x:c r="G1" s="54"/>
      <x:c r="H1" s="54"/>
      <x:c r="I1" s="54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ht="13.899999618530273">
      <x:c r="A2" s="33"/>
    </x:row>
    <x:row r="3" ht="27.75">
      <x:c r="A3" s="32" t="s">
        <x:v>121</x:v>
      </x:c>
      <x:c r="B3" s="2" t="s">
        <x:v>122</x:v>
      </x:c>
      <x:c r="C3" s="2" t="s">
        <x:v>123</x:v>
      </x:c>
      <x:c r="D3" s="2" t="s">
        <x:v>124</x:v>
      </x:c>
      <x:c r="E3" s="2" t="s">
        <x:v>66</x:v>
      </x:c>
      <x:c r="F3" s="2" t="s">
        <x:v>125</x:v>
      </x:c>
      <x:c r="G3" s="2" t="s">
        <x:v>126</x:v>
      </x:c>
      <x:c r="H3" s="2" t="s">
        <x:v>127</x:v>
      </x:c>
      <x:c r="I3" s="2" t="s">
        <x:v>128</x:v>
      </x:c>
    </x:row>
    <x:row r="4" ht="13.899999618530273">
      <x:c r="A4" s="33">
        <x:v>1</x:v>
      </x:c>
      <x:c r="B4" s="21" t="n">
        <x:f t="shared" ref="B4:B35" si="0">IF(A4=60,"—",A4+1)</x:f>
        <x:v>2</x:v>
      </x:c>
      <x:c r="C4" s="21" t="n">
        <x:f t="shared" ref="C4:C35" si="1">IF(A4&lt;=10,100+(A4-1)*50,IF(A4&lt;=20,600+(A4-11)*100,IF(A4&lt;=30,1600+(A4-21)*100,IF(A4&lt;=35,3500,IF(A4&lt;=40,5000,IF(A4&lt;=45,6000,IF(A4&lt;=50,8000,IF(A4&lt;=55,10000,15000))))))))</x:f>
        <x:v>100</x:v>
      </x:c>
      <x:c r="D4" s="21">
        <x:v>0</x:v>
      </x:c>
      <x:c r="E4" s="21" t="n">
        <x:f t="shared" ref="E4:E35" si="2">ROUNDUP(D4/100,0)*100</x:f>
        <x:v>0</x:v>
      </x:c>
      <x:c r="F4" s="21" t="n">
        <x:f t="shared" ref="F4:F35" si="3">E4-D4</x:f>
        <x:v>0</x:v>
      </x:c>
      <x:c r="G4" s="21" t="n">
        <x:f t="shared" ref="G4:G35" si="4">INT(E4/500)</x:f>
        <x:v>0</x:v>
      </x:c>
      <x:c r="H4" s="21" t="n">
        <x:f t="shared" ref="H4:H35" si="5">MOD(E4,500)/100</x:f>
        <x:v>0</x:v>
      </x:c>
      <x:c r="I4" s="23" t="s">
        <x:v>129</x:v>
      </x:c>
    </x:row>
    <x:row r="5" ht="13.899999618530273">
      <x:c r="A5" s="33">
        <x:v>2</x:v>
      </x:c>
      <x:c r="B5" s="21">
        <x:f t="shared" si="0"/>
        <x:v>3</x:v>
      </x:c>
      <x:c r="C5" s="21">
        <x:f t="shared" si="1"/>
        <x:v>150</x:v>
      </x:c>
      <x:c r="D5" s="21" t="n">
        <x:f t="shared" ref="D5:D36" si="6">D4+C4</x:f>
        <x:v>100</x:v>
      </x:c>
      <x:c r="E5" s="21">
        <x:f t="shared" si="2"/>
        <x:v>100</x:v>
      </x:c>
      <x:c r="F5" s="21">
        <x:f t="shared" si="3"/>
        <x:v>0</x:v>
      </x:c>
      <x:c r="G5" s="21">
        <x:f t="shared" si="4"/>
        <x:v>0</x:v>
      </x:c>
      <x:c r="H5" s="21">
        <x:f t="shared" si="5"/>
        <x:v>1</x:v>
      </x:c>
      <x:c r="I5" s="23"/>
    </x:row>
    <x:row r="6" ht="13.899999618530273">
      <x:c r="A6" s="33">
        <x:v>3</x:v>
      </x:c>
      <x:c r="B6" s="21">
        <x:f t="shared" si="0"/>
        <x:v>4</x:v>
      </x:c>
      <x:c r="C6" s="21">
        <x:f t="shared" si="1"/>
        <x:v>200</x:v>
      </x:c>
      <x:c r="D6" s="21">
        <x:f t="shared" si="6"/>
        <x:v>250</x:v>
      </x:c>
      <x:c r="E6" s="21">
        <x:f t="shared" si="2"/>
        <x:v>300</x:v>
      </x:c>
      <x:c r="F6" s="21">
        <x:f t="shared" si="3"/>
        <x:v>50</x:v>
      </x:c>
      <x:c r="G6" s="21">
        <x:f t="shared" si="4"/>
        <x:v>0</x:v>
      </x:c>
      <x:c r="H6" s="21">
        <x:f t="shared" si="5"/>
        <x:v>3</x:v>
      </x:c>
      <x:c r="I6" s="23"/>
    </x:row>
    <x:row r="7" ht="13.899999618530273">
      <x:c r="A7" s="33">
        <x:v>4</x:v>
      </x:c>
      <x:c r="B7" s="21">
        <x:f t="shared" si="0"/>
        <x:v>5</x:v>
      </x:c>
      <x:c r="C7" s="21">
        <x:f t="shared" si="1"/>
        <x:v>250</x:v>
      </x:c>
      <x:c r="D7" s="21">
        <x:f t="shared" si="6"/>
        <x:v>450</x:v>
      </x:c>
      <x:c r="E7" s="21">
        <x:f t="shared" si="2"/>
        <x:v>500</x:v>
      </x:c>
      <x:c r="F7" s="21">
        <x:f t="shared" si="3"/>
        <x:v>50</x:v>
      </x:c>
      <x:c r="G7" s="21">
        <x:f t="shared" si="4"/>
        <x:v>1</x:v>
      </x:c>
      <x:c r="H7" s="21">
        <x:f t="shared" si="5"/>
        <x:v>0</x:v>
      </x:c>
      <x:c r="I7" s="23"/>
    </x:row>
    <x:row r="8" ht="13.899999618530273">
      <x:c r="A8" s="33">
        <x:v>5</x:v>
      </x:c>
      <x:c r="B8" s="21">
        <x:f t="shared" si="0"/>
        <x:v>6</x:v>
      </x:c>
      <x:c r="C8" s="21">
        <x:f t="shared" si="1"/>
        <x:v>300</x:v>
      </x:c>
      <x:c r="D8" s="21">
        <x:f t="shared" si="6"/>
        <x:v>700</x:v>
      </x:c>
      <x:c r="E8" s="21">
        <x:f t="shared" si="2"/>
        <x:v>700</x:v>
      </x:c>
      <x:c r="F8" s="21">
        <x:f t="shared" si="3"/>
        <x:v>0</x:v>
      </x:c>
      <x:c r="G8" s="21">
        <x:f t="shared" si="4"/>
        <x:v>1</x:v>
      </x:c>
      <x:c r="H8" s="21">
        <x:f t="shared" si="5"/>
        <x:v>2</x:v>
      </x:c>
      <x:c r="I8" s="23"/>
    </x:row>
    <x:row r="9" ht="13.899999618530273">
      <x:c r="A9" s="33">
        <x:v>6</x:v>
      </x:c>
      <x:c r="B9" s="21">
        <x:f t="shared" si="0"/>
        <x:v>7</x:v>
      </x:c>
      <x:c r="C9" s="21">
        <x:f t="shared" si="1"/>
        <x:v>350</x:v>
      </x:c>
      <x:c r="D9" s="21">
        <x:f t="shared" si="6"/>
        <x:v>1000</x:v>
      </x:c>
      <x:c r="E9" s="21">
        <x:f t="shared" si="2"/>
        <x:v>1000</x:v>
      </x:c>
      <x:c r="F9" s="21">
        <x:f t="shared" si="3"/>
        <x:v>0</x:v>
      </x:c>
      <x:c r="G9" s="21">
        <x:f t="shared" si="4"/>
        <x:v>2</x:v>
      </x:c>
      <x:c r="H9" s="21">
        <x:f t="shared" si="5"/>
        <x:v>0</x:v>
      </x:c>
      <x:c r="I9" s="23"/>
    </x:row>
    <x:row r="10" ht="13.899999618530273">
      <x:c r="A10" s="33">
        <x:v>7</x:v>
      </x:c>
      <x:c r="B10" s="21">
        <x:f t="shared" si="0"/>
        <x:v>8</x:v>
      </x:c>
      <x:c r="C10" s="21">
        <x:f t="shared" si="1"/>
        <x:v>400</x:v>
      </x:c>
      <x:c r="D10" s="21">
        <x:f t="shared" si="6"/>
        <x:v>1350</x:v>
      </x:c>
      <x:c r="E10" s="21">
        <x:f t="shared" si="2"/>
        <x:v>1400</x:v>
      </x:c>
      <x:c r="F10" s="21">
        <x:f t="shared" si="3"/>
        <x:v>50</x:v>
      </x:c>
      <x:c r="G10" s="21">
        <x:f t="shared" si="4"/>
        <x:v>2</x:v>
      </x:c>
      <x:c r="H10" s="21">
        <x:f t="shared" si="5"/>
        <x:v>4</x:v>
      </x:c>
      <x:c r="I10" s="23"/>
    </x:row>
    <x:row r="11" ht="13.899999618530273">
      <x:c r="A11" s="33">
        <x:v>8</x:v>
      </x:c>
      <x:c r="B11" s="21">
        <x:f t="shared" si="0"/>
        <x:v>9</x:v>
      </x:c>
      <x:c r="C11" s="21">
        <x:f t="shared" si="1"/>
        <x:v>450</x:v>
      </x:c>
      <x:c r="D11" s="21">
        <x:f t="shared" si="6"/>
        <x:v>1750</x:v>
      </x:c>
      <x:c r="E11" s="21">
        <x:f t="shared" si="2"/>
        <x:v>1800</x:v>
      </x:c>
      <x:c r="F11" s="21">
        <x:f t="shared" si="3"/>
        <x:v>50</x:v>
      </x:c>
      <x:c r="G11" s="21">
        <x:f t="shared" si="4"/>
        <x:v>3</x:v>
      </x:c>
      <x:c r="H11" s="21">
        <x:f t="shared" si="5"/>
        <x:v>3</x:v>
      </x:c>
      <x:c r="I11" s="23"/>
    </x:row>
    <x:row r="12" ht="13.899999618530273">
      <x:c r="A12" s="33">
        <x:v>9</x:v>
      </x:c>
      <x:c r="B12" s="21">
        <x:f t="shared" si="0"/>
        <x:v>10</x:v>
      </x:c>
      <x:c r="C12" s="21">
        <x:f t="shared" si="1"/>
        <x:v>500</x:v>
      </x:c>
      <x:c r="D12" s="21">
        <x:f t="shared" si="6"/>
        <x:v>2200</x:v>
      </x:c>
      <x:c r="E12" s="21">
        <x:f t="shared" si="2"/>
        <x:v>2200</x:v>
      </x:c>
      <x:c r="F12" s="21">
        <x:f t="shared" si="3"/>
        <x:v>0</x:v>
      </x:c>
      <x:c r="G12" s="21">
        <x:f t="shared" si="4"/>
        <x:v>4</x:v>
      </x:c>
      <x:c r="H12" s="21">
        <x:f t="shared" si="5"/>
        <x:v>2</x:v>
      </x:c>
      <x:c r="I12" s="23"/>
    </x:row>
    <x:row r="13" ht="27.75">
      <x:c r="A13" s="33">
        <x:v>10</x:v>
      </x:c>
      <x:c r="B13" s="21">
        <x:f t="shared" si="0"/>
        <x:v>11</x:v>
      </x:c>
      <x:c r="C13" s="21">
        <x:f t="shared" si="1"/>
        <x:v>550</x:v>
      </x:c>
      <x:c r="D13" s="21">
        <x:f t="shared" si="6"/>
        <x:v>2700</x:v>
      </x:c>
      <x:c r="E13" s="21">
        <x:f t="shared" si="2"/>
        <x:v>2700</x:v>
      </x:c>
      <x:c r="F13" s="21">
        <x:f t="shared" si="3"/>
        <x:v>0</x:v>
      </x:c>
      <x:c r="G13" s="21">
        <x:f t="shared" si="4"/>
        <x:v>5</x:v>
      </x:c>
      <x:c r="H13" s="21">
        <x:f t="shared" si="5"/>
        <x:v>2</x:v>
      </x:c>
      <x:c r="I13" s="23" t="s">
        <x:v>130</x:v>
      </x:c>
    </x:row>
    <x:row r="14" ht="13.899999618530273">
      <x:c r="A14" s="33">
        <x:v>11</x:v>
      </x:c>
      <x:c r="B14" s="21">
        <x:f t="shared" si="0"/>
        <x:v>12</x:v>
      </x:c>
      <x:c r="C14" s="21">
        <x:f t="shared" si="1"/>
        <x:v>600</x:v>
      </x:c>
      <x:c r="D14" s="21">
        <x:f t="shared" si="6"/>
        <x:v>3250</x:v>
      </x:c>
      <x:c r="E14" s="21">
        <x:f t="shared" si="2"/>
        <x:v>3300</x:v>
      </x:c>
      <x:c r="F14" s="21">
        <x:f t="shared" si="3"/>
        <x:v>50</x:v>
      </x:c>
      <x:c r="G14" s="21">
        <x:f t="shared" si="4"/>
        <x:v>6</x:v>
      </x:c>
      <x:c r="H14" s="21">
        <x:f t="shared" si="5"/>
        <x:v>3</x:v>
      </x:c>
      <x:c r="I14" s="23"/>
    </x:row>
    <x:row r="15" ht="13.899999618530273">
      <x:c r="A15" s="33">
        <x:v>12</x:v>
      </x:c>
      <x:c r="B15" s="21">
        <x:f t="shared" si="0"/>
        <x:v>13</x:v>
      </x:c>
      <x:c r="C15" s="21">
        <x:f t="shared" si="1"/>
        <x:v>700</x:v>
      </x:c>
      <x:c r="D15" s="21">
        <x:f t="shared" si="6"/>
        <x:v>3850</x:v>
      </x:c>
      <x:c r="E15" s="21">
        <x:f t="shared" si="2"/>
        <x:v>3900</x:v>
      </x:c>
      <x:c r="F15" s="21">
        <x:f t="shared" si="3"/>
        <x:v>50</x:v>
      </x:c>
      <x:c r="G15" s="21">
        <x:f t="shared" si="4"/>
        <x:v>7</x:v>
      </x:c>
      <x:c r="H15" s="21">
        <x:f t="shared" si="5"/>
        <x:v>4</x:v>
      </x:c>
      <x:c r="I15" s="23"/>
    </x:row>
    <x:row r="16" ht="13.899999618530273">
      <x:c r="A16" s="33">
        <x:v>13</x:v>
      </x:c>
      <x:c r="B16" s="21">
        <x:f t="shared" si="0"/>
        <x:v>14</x:v>
      </x:c>
      <x:c r="C16" s="21">
        <x:f t="shared" si="1"/>
        <x:v>800</x:v>
      </x:c>
      <x:c r="D16" s="21">
        <x:f t="shared" si="6"/>
        <x:v>4550</x:v>
      </x:c>
      <x:c r="E16" s="21">
        <x:f t="shared" si="2"/>
        <x:v>4600</x:v>
      </x:c>
      <x:c r="F16" s="21">
        <x:f t="shared" si="3"/>
        <x:v>50</x:v>
      </x:c>
      <x:c r="G16" s="21">
        <x:f t="shared" si="4"/>
        <x:v>9</x:v>
      </x:c>
      <x:c r="H16" s="21">
        <x:f t="shared" si="5"/>
        <x:v>1</x:v>
      </x:c>
      <x:c r="I16" s="23"/>
    </x:row>
    <x:row r="17" ht="13.899999618530273">
      <x:c r="A17" s="33">
        <x:v>14</x:v>
      </x:c>
      <x:c r="B17" s="21">
        <x:f t="shared" si="0"/>
        <x:v>15</x:v>
      </x:c>
      <x:c r="C17" s="21">
        <x:f t="shared" si="1"/>
        <x:v>900</x:v>
      </x:c>
      <x:c r="D17" s="21">
        <x:f t="shared" si="6"/>
        <x:v>5350</x:v>
      </x:c>
      <x:c r="E17" s="21">
        <x:f t="shared" si="2"/>
        <x:v>5400</x:v>
      </x:c>
      <x:c r="F17" s="21">
        <x:f t="shared" si="3"/>
        <x:v>50</x:v>
      </x:c>
      <x:c r="G17" s="21">
        <x:f t="shared" si="4"/>
        <x:v>10</x:v>
      </x:c>
      <x:c r="H17" s="21">
        <x:f t="shared" si="5"/>
        <x:v>4</x:v>
      </x:c>
      <x:c r="I17" s="23"/>
    </x:row>
    <x:row r="18" ht="13.899999618530273">
      <x:c r="A18" s="33">
        <x:v>15</x:v>
      </x:c>
      <x:c r="B18" s="21">
        <x:f t="shared" si="0"/>
        <x:v>16</x:v>
      </x:c>
      <x:c r="C18" s="21">
        <x:f t="shared" si="1"/>
        <x:v>1000</x:v>
      </x:c>
      <x:c r="D18" s="21">
        <x:f t="shared" si="6"/>
        <x:v>6250</x:v>
      </x:c>
      <x:c r="E18" s="21">
        <x:f t="shared" si="2"/>
        <x:v>6300</x:v>
      </x:c>
      <x:c r="F18" s="21">
        <x:f t="shared" si="3"/>
        <x:v>50</x:v>
      </x:c>
      <x:c r="G18" s="21">
        <x:f t="shared" si="4"/>
        <x:v>12</x:v>
      </x:c>
      <x:c r="H18" s="21">
        <x:f t="shared" si="5"/>
        <x:v>3</x:v>
      </x:c>
      <x:c r="I18" s="23"/>
    </x:row>
    <x:row r="19" ht="13.899999618530273">
      <x:c r="A19" s="33">
        <x:v>16</x:v>
      </x:c>
      <x:c r="B19" s="21">
        <x:f t="shared" si="0"/>
        <x:v>17</x:v>
      </x:c>
      <x:c r="C19" s="21">
        <x:f t="shared" si="1"/>
        <x:v>1100</x:v>
      </x:c>
      <x:c r="D19" s="21">
        <x:f t="shared" si="6"/>
        <x:v>7250</x:v>
      </x:c>
      <x:c r="E19" s="21">
        <x:f t="shared" si="2"/>
        <x:v>7300</x:v>
      </x:c>
      <x:c r="F19" s="21">
        <x:f t="shared" si="3"/>
        <x:v>50</x:v>
      </x:c>
      <x:c r="G19" s="21">
        <x:f t="shared" si="4"/>
        <x:v>14</x:v>
      </x:c>
      <x:c r="H19" s="21">
        <x:f t="shared" si="5"/>
        <x:v>3</x:v>
      </x:c>
      <x:c r="I19" s="23"/>
    </x:row>
    <x:row r="20" ht="13.899999618530273">
      <x:c r="A20" s="33">
        <x:v>17</x:v>
      </x:c>
      <x:c r="B20" s="21">
        <x:f t="shared" si="0"/>
        <x:v>18</x:v>
      </x:c>
      <x:c r="C20" s="21">
        <x:f t="shared" si="1"/>
        <x:v>1200</x:v>
      </x:c>
      <x:c r="D20" s="21">
        <x:f t="shared" si="6"/>
        <x:v>8350</x:v>
      </x:c>
      <x:c r="E20" s="21">
        <x:f t="shared" si="2"/>
        <x:v>8400</x:v>
      </x:c>
      <x:c r="F20" s="21">
        <x:f t="shared" si="3"/>
        <x:v>50</x:v>
      </x:c>
      <x:c r="G20" s="21">
        <x:f t="shared" si="4"/>
        <x:v>16</x:v>
      </x:c>
      <x:c r="H20" s="21">
        <x:f t="shared" si="5"/>
        <x:v>4</x:v>
      </x:c>
      <x:c r="I20" s="23"/>
    </x:row>
    <x:row r="21" ht="13.899999618530273">
      <x:c r="A21" s="33">
        <x:v>18</x:v>
      </x:c>
      <x:c r="B21" s="21">
        <x:f t="shared" si="0"/>
        <x:v>19</x:v>
      </x:c>
      <x:c r="C21" s="21">
        <x:f t="shared" si="1"/>
        <x:v>1300</x:v>
      </x:c>
      <x:c r="D21" s="21">
        <x:f t="shared" si="6"/>
        <x:v>9550</x:v>
      </x:c>
      <x:c r="E21" s="21">
        <x:f t="shared" si="2"/>
        <x:v>9600</x:v>
      </x:c>
      <x:c r="F21" s="21">
        <x:f t="shared" si="3"/>
        <x:v>50</x:v>
      </x:c>
      <x:c r="G21" s="21">
        <x:f t="shared" si="4"/>
        <x:v>19</x:v>
      </x:c>
      <x:c r="H21" s="21">
        <x:f t="shared" si="5"/>
        <x:v>1</x:v>
      </x:c>
      <x:c r="I21" s="23"/>
    </x:row>
    <x:row r="22" ht="13.899999618530273">
      <x:c r="A22" s="33">
        <x:v>19</x:v>
      </x:c>
      <x:c r="B22" s="21">
        <x:f t="shared" si="0"/>
        <x:v>20</x:v>
      </x:c>
      <x:c r="C22" s="21">
        <x:f t="shared" si="1"/>
        <x:v>1400</x:v>
      </x:c>
      <x:c r="D22" s="21">
        <x:f t="shared" si="6"/>
        <x:v>10850</x:v>
      </x:c>
      <x:c r="E22" s="21">
        <x:f t="shared" si="2"/>
        <x:v>10900</x:v>
      </x:c>
      <x:c r="F22" s="21">
        <x:f t="shared" si="3"/>
        <x:v>50</x:v>
      </x:c>
      <x:c r="G22" s="21">
        <x:f t="shared" si="4"/>
        <x:v>21</x:v>
      </x:c>
      <x:c r="H22" s="21">
        <x:f t="shared" si="5"/>
        <x:v>4</x:v>
      </x:c>
      <x:c r="I22" s="23"/>
    </x:row>
    <x:row r="23" ht="27.75">
      <x:c r="A23" s="33">
        <x:v>20</x:v>
      </x:c>
      <x:c r="B23" s="21">
        <x:f t="shared" si="0"/>
        <x:v>21</x:v>
      </x:c>
      <x:c r="C23" s="21">
        <x:f t="shared" si="1"/>
        <x:v>1500</x:v>
      </x:c>
      <x:c r="D23" s="21">
        <x:f t="shared" si="6"/>
        <x:v>12250</x:v>
      </x:c>
      <x:c r="E23" s="21">
        <x:f t="shared" si="2"/>
        <x:v>12300</x:v>
      </x:c>
      <x:c r="F23" s="21">
        <x:f t="shared" si="3"/>
        <x:v>50</x:v>
      </x:c>
      <x:c r="G23" s="21">
        <x:f t="shared" si="4"/>
        <x:v>24</x:v>
      </x:c>
      <x:c r="H23" s="21">
        <x:f t="shared" si="5"/>
        <x:v>3</x:v>
      </x:c>
      <x:c r="I23" s="23" t="s">
        <x:v>131</x:v>
      </x:c>
    </x:row>
    <x:row r="24" ht="13.899999618530273">
      <x:c r="A24" s="33">
        <x:v>21</x:v>
      </x:c>
      <x:c r="B24" s="21">
        <x:f t="shared" si="0"/>
        <x:v>22</x:v>
      </x:c>
      <x:c r="C24" s="21">
        <x:f t="shared" si="1"/>
        <x:v>1600</x:v>
      </x:c>
      <x:c r="D24" s="21">
        <x:f t="shared" si="6"/>
        <x:v>13750</x:v>
      </x:c>
      <x:c r="E24" s="21">
        <x:f t="shared" si="2"/>
        <x:v>13800</x:v>
      </x:c>
      <x:c r="F24" s="21">
        <x:f t="shared" si="3"/>
        <x:v>50</x:v>
      </x:c>
      <x:c r="G24" s="21">
        <x:f t="shared" si="4"/>
        <x:v>27</x:v>
      </x:c>
      <x:c r="H24" s="21">
        <x:f t="shared" si="5"/>
        <x:v>3</x:v>
      </x:c>
      <x:c r="I24" s="23"/>
    </x:row>
    <x:row r="25" ht="13.899999618530273">
      <x:c r="A25" s="33">
        <x:v>22</x:v>
      </x:c>
      <x:c r="B25" s="21">
        <x:f t="shared" si="0"/>
        <x:v>23</x:v>
      </x:c>
      <x:c r="C25" s="21">
        <x:f t="shared" si="1"/>
        <x:v>1700</x:v>
      </x:c>
      <x:c r="D25" s="21">
        <x:f t="shared" si="6"/>
        <x:v>15350</x:v>
      </x:c>
      <x:c r="E25" s="21">
        <x:f t="shared" si="2"/>
        <x:v>15400</x:v>
      </x:c>
      <x:c r="F25" s="21">
        <x:f t="shared" si="3"/>
        <x:v>50</x:v>
      </x:c>
      <x:c r="G25" s="21">
        <x:f t="shared" si="4"/>
        <x:v>30</x:v>
      </x:c>
      <x:c r="H25" s="21">
        <x:f t="shared" si="5"/>
        <x:v>4</x:v>
      </x:c>
      <x:c r="I25" s="23"/>
    </x:row>
    <x:row r="26" ht="13.899999618530273">
      <x:c r="A26" s="33">
        <x:v>23</x:v>
      </x:c>
      <x:c r="B26" s="21">
        <x:f t="shared" si="0"/>
        <x:v>24</x:v>
      </x:c>
      <x:c r="C26" s="21">
        <x:f t="shared" si="1"/>
        <x:v>1800</x:v>
      </x:c>
      <x:c r="D26" s="21">
        <x:f t="shared" si="6"/>
        <x:v>17050</x:v>
      </x:c>
      <x:c r="E26" s="21">
        <x:f t="shared" si="2"/>
        <x:v>17100</x:v>
      </x:c>
      <x:c r="F26" s="21">
        <x:f t="shared" si="3"/>
        <x:v>50</x:v>
      </x:c>
      <x:c r="G26" s="21">
        <x:f t="shared" si="4"/>
        <x:v>34</x:v>
      </x:c>
      <x:c r="H26" s="21">
        <x:f t="shared" si="5"/>
        <x:v>1</x:v>
      </x:c>
      <x:c r="I26" s="23"/>
    </x:row>
    <x:row r="27" ht="13.899999618530273">
      <x:c r="A27" s="33">
        <x:v>24</x:v>
      </x:c>
      <x:c r="B27" s="21">
        <x:f t="shared" si="0"/>
        <x:v>25</x:v>
      </x:c>
      <x:c r="C27" s="21">
        <x:f t="shared" si="1"/>
        <x:v>1900</x:v>
      </x:c>
      <x:c r="D27" s="21">
        <x:f t="shared" si="6"/>
        <x:v>18850</x:v>
      </x:c>
      <x:c r="E27" s="21">
        <x:f t="shared" si="2"/>
        <x:v>18900</x:v>
      </x:c>
      <x:c r="F27" s="21">
        <x:f t="shared" si="3"/>
        <x:v>50</x:v>
      </x:c>
      <x:c r="G27" s="21">
        <x:f t="shared" si="4"/>
        <x:v>37</x:v>
      </x:c>
      <x:c r="H27" s="21">
        <x:f t="shared" si="5"/>
        <x:v>4</x:v>
      </x:c>
      <x:c r="I27" s="23"/>
    </x:row>
    <x:row r="28" ht="13.899999618530273">
      <x:c r="A28" s="33">
        <x:v>25</x:v>
      </x:c>
      <x:c r="B28" s="21">
        <x:f t="shared" si="0"/>
        <x:v>26</x:v>
      </x:c>
      <x:c r="C28" s="21">
        <x:f t="shared" si="1"/>
        <x:v>2000</x:v>
      </x:c>
      <x:c r="D28" s="21">
        <x:f t="shared" si="6"/>
        <x:v>20750</x:v>
      </x:c>
      <x:c r="E28" s="21">
        <x:f t="shared" si="2"/>
        <x:v>20800</x:v>
      </x:c>
      <x:c r="F28" s="21">
        <x:f t="shared" si="3"/>
        <x:v>50</x:v>
      </x:c>
      <x:c r="G28" s="21">
        <x:f t="shared" si="4"/>
        <x:v>41</x:v>
      </x:c>
      <x:c r="H28" s="21">
        <x:f t="shared" si="5"/>
        <x:v>3</x:v>
      </x:c>
      <x:c r="I28" s="23"/>
    </x:row>
    <x:row r="29" ht="13.899999618530273">
      <x:c r="A29" s="33">
        <x:v>26</x:v>
      </x:c>
      <x:c r="B29" s="21">
        <x:f t="shared" si="0"/>
        <x:v>27</x:v>
      </x:c>
      <x:c r="C29" s="21">
        <x:f t="shared" si="1"/>
        <x:v>2100</x:v>
      </x:c>
      <x:c r="D29" s="21">
        <x:f t="shared" si="6"/>
        <x:v>22750</x:v>
      </x:c>
      <x:c r="E29" s="21">
        <x:f t="shared" si="2"/>
        <x:v>22800</x:v>
      </x:c>
      <x:c r="F29" s="21">
        <x:f t="shared" si="3"/>
        <x:v>50</x:v>
      </x:c>
      <x:c r="G29" s="21">
        <x:f t="shared" si="4"/>
        <x:v>45</x:v>
      </x:c>
      <x:c r="H29" s="21">
        <x:f t="shared" si="5"/>
        <x:v>3</x:v>
      </x:c>
      <x:c r="I29" s="23"/>
    </x:row>
    <x:row r="30" ht="13.899999618530273">
      <x:c r="A30" s="33">
        <x:v>27</x:v>
      </x:c>
      <x:c r="B30" s="21">
        <x:f t="shared" si="0"/>
        <x:v>28</x:v>
      </x:c>
      <x:c r="C30" s="21">
        <x:f t="shared" si="1"/>
        <x:v>2200</x:v>
      </x:c>
      <x:c r="D30" s="21">
        <x:f t="shared" si="6"/>
        <x:v>24850</x:v>
      </x:c>
      <x:c r="E30" s="21">
        <x:f t="shared" si="2"/>
        <x:v>24900</x:v>
      </x:c>
      <x:c r="F30" s="21">
        <x:f t="shared" si="3"/>
        <x:v>50</x:v>
      </x:c>
      <x:c r="G30" s="21">
        <x:f t="shared" si="4"/>
        <x:v>49</x:v>
      </x:c>
      <x:c r="H30" s="21">
        <x:f t="shared" si="5"/>
        <x:v>4</x:v>
      </x:c>
      <x:c r="I30" s="23"/>
    </x:row>
    <x:row r="31" ht="13.899999618530273">
      <x:c r="A31" s="33">
        <x:v>28</x:v>
      </x:c>
      <x:c r="B31" s="21">
        <x:f t="shared" si="0"/>
        <x:v>29</x:v>
      </x:c>
      <x:c r="C31" s="21">
        <x:f t="shared" si="1"/>
        <x:v>2300</x:v>
      </x:c>
      <x:c r="D31" s="21">
        <x:f t="shared" si="6"/>
        <x:v>27050</x:v>
      </x:c>
      <x:c r="E31" s="21">
        <x:f t="shared" si="2"/>
        <x:v>27100</x:v>
      </x:c>
      <x:c r="F31" s="21">
        <x:f t="shared" si="3"/>
        <x:v>50</x:v>
      </x:c>
      <x:c r="G31" s="21">
        <x:f t="shared" si="4"/>
        <x:v>54</x:v>
      </x:c>
      <x:c r="H31" s="21">
        <x:f t="shared" si="5"/>
        <x:v>1</x:v>
      </x:c>
      <x:c r="I31" s="23"/>
    </x:row>
    <x:row r="32" ht="13.899999618530273">
      <x:c r="A32" s="33">
        <x:v>29</x:v>
      </x:c>
      <x:c r="B32" s="21">
        <x:f t="shared" si="0"/>
        <x:v>30</x:v>
      </x:c>
      <x:c r="C32" s="21">
        <x:f t="shared" si="1"/>
        <x:v>2400</x:v>
      </x:c>
      <x:c r="D32" s="21">
        <x:f t="shared" si="6"/>
        <x:v>29350</x:v>
      </x:c>
      <x:c r="E32" s="21">
        <x:f t="shared" si="2"/>
        <x:v>29400</x:v>
      </x:c>
      <x:c r="F32" s="21">
        <x:f t="shared" si="3"/>
        <x:v>50</x:v>
      </x:c>
      <x:c r="G32" s="21">
        <x:f t="shared" si="4"/>
        <x:v>58</x:v>
      </x:c>
      <x:c r="H32" s="21">
        <x:f t="shared" si="5"/>
        <x:v>4</x:v>
      </x:c>
      <x:c r="I32" s="23"/>
    </x:row>
    <x:row r="33" ht="27.75">
      <x:c r="A33" s="33">
        <x:v>30</x:v>
      </x:c>
      <x:c r="B33" s="21">
        <x:f t="shared" si="0"/>
        <x:v>31</x:v>
      </x:c>
      <x:c r="C33" s="21">
        <x:f t="shared" si="1"/>
        <x:v>2500</x:v>
      </x:c>
      <x:c r="D33" s="21">
        <x:f t="shared" si="6"/>
        <x:v>31750</x:v>
      </x:c>
      <x:c r="E33" s="21">
        <x:f t="shared" si="2"/>
        <x:v>31800</x:v>
      </x:c>
      <x:c r="F33" s="21">
        <x:f t="shared" si="3"/>
        <x:v>50</x:v>
      </x:c>
      <x:c r="G33" s="21">
        <x:f t="shared" si="4"/>
        <x:v>63</x:v>
      </x:c>
      <x:c r="H33" s="21">
        <x:f t="shared" si="5"/>
        <x:v>3</x:v>
      </x:c>
      <x:c r="I33" s="23" t="s">
        <x:v>132</x:v>
      </x:c>
    </x:row>
    <x:row r="34" ht="13.899999618530273">
      <x:c r="A34" s="33">
        <x:v>31</x:v>
      </x:c>
      <x:c r="B34" s="21">
        <x:f t="shared" si="0"/>
        <x:v>32</x:v>
      </x:c>
      <x:c r="C34" s="21">
        <x:f t="shared" si="1"/>
        <x:v>3500</x:v>
      </x:c>
      <x:c r="D34" s="21">
        <x:f t="shared" si="6"/>
        <x:v>34250</x:v>
      </x:c>
      <x:c r="E34" s="21">
        <x:f t="shared" si="2"/>
        <x:v>34300</x:v>
      </x:c>
      <x:c r="F34" s="21">
        <x:f t="shared" si="3"/>
        <x:v>50</x:v>
      </x:c>
      <x:c r="G34" s="21">
        <x:f t="shared" si="4"/>
        <x:v>68</x:v>
      </x:c>
      <x:c r="H34" s="21">
        <x:f t="shared" si="5"/>
        <x:v>3</x:v>
      </x:c>
      <x:c r="I34" s="23"/>
    </x:row>
    <x:row r="35" ht="13.899999618530273">
      <x:c r="A35" s="33">
        <x:v>32</x:v>
      </x:c>
      <x:c r="B35" s="21">
        <x:f t="shared" si="0"/>
        <x:v>33</x:v>
      </x:c>
      <x:c r="C35" s="21">
        <x:f t="shared" si="1"/>
        <x:v>3500</x:v>
      </x:c>
      <x:c r="D35" s="21">
        <x:f t="shared" si="6"/>
        <x:v>37750</x:v>
      </x:c>
      <x:c r="E35" s="21">
        <x:f t="shared" si="2"/>
        <x:v>37800</x:v>
      </x:c>
      <x:c r="F35" s="21">
        <x:f t="shared" si="3"/>
        <x:v>50</x:v>
      </x:c>
      <x:c r="G35" s="21">
        <x:f t="shared" si="4"/>
        <x:v>75</x:v>
      </x:c>
      <x:c r="H35" s="21">
        <x:f t="shared" si="5"/>
        <x:v>3</x:v>
      </x:c>
      <x:c r="I35" s="23"/>
    </x:row>
    <x:row r="36" ht="13.899999618530273">
      <x:c r="A36" s="33">
        <x:v>33</x:v>
      </x:c>
      <x:c r="B36" s="21" t="n">
        <x:f t="shared" ref="B36:B63" si="7">IF(A36=60,"—",A36+1)</x:f>
        <x:v>34</x:v>
      </x:c>
      <x:c r="C36" s="21" t="n">
        <x:f t="shared" ref="C36:C63" si="8">IF(A36&lt;=10,100+(A36-1)*50,IF(A36&lt;=20,600+(A36-11)*100,IF(A36&lt;=30,1600+(A36-21)*100,IF(A36&lt;=35,3500,IF(A36&lt;=40,5000,IF(A36&lt;=45,6000,IF(A36&lt;=50,8000,IF(A36&lt;=55,10000,15000))))))))</x:f>
        <x:v>3500</x:v>
      </x:c>
      <x:c r="D36" s="21">
        <x:f t="shared" si="6"/>
        <x:v>41250</x:v>
      </x:c>
      <x:c r="E36" s="21" t="n">
        <x:f t="shared" ref="E36:E63" si="9">ROUNDUP(D36/100,0)*100</x:f>
        <x:v>41300</x:v>
      </x:c>
      <x:c r="F36" s="21" t="n">
        <x:f t="shared" ref="F36:F63" si="10">E36-D36</x:f>
        <x:v>50</x:v>
      </x:c>
      <x:c r="G36" s="21" t="n">
        <x:f t="shared" ref="G36:G63" si="11">INT(E36/500)</x:f>
        <x:v>82</x:v>
      </x:c>
      <x:c r="H36" s="21" t="n">
        <x:f t="shared" ref="H36:H63" si="12">MOD(E36,500)/100</x:f>
        <x:v>3</x:v>
      </x:c>
      <x:c r="I36" s="23"/>
    </x:row>
    <x:row r="37" ht="13.899999618530273">
      <x:c r="A37" s="33">
        <x:v>34</x:v>
      </x:c>
      <x:c r="B37" s="21">
        <x:f t="shared" si="7"/>
        <x:v>35</x:v>
      </x:c>
      <x:c r="C37" s="21">
        <x:f t="shared" si="8"/>
        <x:v>3500</x:v>
      </x:c>
      <x:c r="D37" s="21" t="n">
        <x:f t="shared" ref="D37:D63" si="13">D36+C36</x:f>
        <x:v>44750</x:v>
      </x:c>
      <x:c r="E37" s="21">
        <x:f t="shared" si="9"/>
        <x:v>44800</x:v>
      </x:c>
      <x:c r="F37" s="21">
        <x:f t="shared" si="10"/>
        <x:v>50</x:v>
      </x:c>
      <x:c r="G37" s="21">
        <x:f t="shared" si="11"/>
        <x:v>89</x:v>
      </x:c>
      <x:c r="H37" s="21">
        <x:f t="shared" si="12"/>
        <x:v>3</x:v>
      </x:c>
      <x:c r="I37" s="23"/>
    </x:row>
    <x:row r="38" ht="13.899999618530273">
      <x:c r="A38" s="33">
        <x:v>35</x:v>
      </x:c>
      <x:c r="B38" s="21">
        <x:f t="shared" si="7"/>
        <x:v>36</x:v>
      </x:c>
      <x:c r="C38" s="21">
        <x:f t="shared" si="8"/>
        <x:v>3500</x:v>
      </x:c>
      <x:c r="D38" s="21">
        <x:f t="shared" si="13"/>
        <x:v>48250</x:v>
      </x:c>
      <x:c r="E38" s="21">
        <x:f t="shared" si="9"/>
        <x:v>48300</x:v>
      </x:c>
      <x:c r="F38" s="21">
        <x:f t="shared" si="10"/>
        <x:v>50</x:v>
      </x:c>
      <x:c r="G38" s="21">
        <x:f t="shared" si="11"/>
        <x:v>96</x:v>
      </x:c>
      <x:c r="H38" s="21">
        <x:f t="shared" si="12"/>
        <x:v>3</x:v>
      </x:c>
      <x:c r="I38" s="23"/>
    </x:row>
    <x:row r="39" ht="13.899999618530273">
      <x:c r="A39" s="33">
        <x:v>36</x:v>
      </x:c>
      <x:c r="B39" s="21">
        <x:f t="shared" si="7"/>
        <x:v>37</x:v>
      </x:c>
      <x:c r="C39" s="21">
        <x:f t="shared" si="8"/>
        <x:v>5000</x:v>
      </x:c>
      <x:c r="D39" s="21">
        <x:f t="shared" si="13"/>
        <x:v>51750</x:v>
      </x:c>
      <x:c r="E39" s="21">
        <x:f t="shared" si="9"/>
        <x:v>51800</x:v>
      </x:c>
      <x:c r="F39" s="21">
        <x:f t="shared" si="10"/>
        <x:v>50</x:v>
      </x:c>
      <x:c r="G39" s="21">
        <x:f t="shared" si="11"/>
        <x:v>103</x:v>
      </x:c>
      <x:c r="H39" s="21">
        <x:f t="shared" si="12"/>
        <x:v>3</x:v>
      </x:c>
      <x:c r="I39" s="23"/>
    </x:row>
    <x:row r="40" ht="13.899999618530273">
      <x:c r="A40" s="33">
        <x:v>37</x:v>
      </x:c>
      <x:c r="B40" s="21">
        <x:f t="shared" si="7"/>
        <x:v>38</x:v>
      </x:c>
      <x:c r="C40" s="21">
        <x:f t="shared" si="8"/>
        <x:v>5000</x:v>
      </x:c>
      <x:c r="D40" s="21">
        <x:f t="shared" si="13"/>
        <x:v>56750</x:v>
      </x:c>
      <x:c r="E40" s="21">
        <x:f t="shared" si="9"/>
        <x:v>56800</x:v>
      </x:c>
      <x:c r="F40" s="21">
        <x:f t="shared" si="10"/>
        <x:v>50</x:v>
      </x:c>
      <x:c r="G40" s="21">
        <x:f t="shared" si="11"/>
        <x:v>113</x:v>
      </x:c>
      <x:c r="H40" s="21">
        <x:f t="shared" si="12"/>
        <x:v>3</x:v>
      </x:c>
      <x:c r="I40" s="23"/>
    </x:row>
    <x:row r="41" ht="13.899999618530273">
      <x:c r="A41" s="33">
        <x:v>38</x:v>
      </x:c>
      <x:c r="B41" s="21">
        <x:f t="shared" si="7"/>
        <x:v>39</x:v>
      </x:c>
      <x:c r="C41" s="21">
        <x:f t="shared" si="8"/>
        <x:v>5000</x:v>
      </x:c>
      <x:c r="D41" s="21">
        <x:f t="shared" si="13"/>
        <x:v>61750</x:v>
      </x:c>
      <x:c r="E41" s="21">
        <x:f t="shared" si="9"/>
        <x:v>61800</x:v>
      </x:c>
      <x:c r="F41" s="21">
        <x:f t="shared" si="10"/>
        <x:v>50</x:v>
      </x:c>
      <x:c r="G41" s="21">
        <x:f t="shared" si="11"/>
        <x:v>123</x:v>
      </x:c>
      <x:c r="H41" s="21">
        <x:f t="shared" si="12"/>
        <x:v>3</x:v>
      </x:c>
      <x:c r="I41" s="23"/>
    </x:row>
    <x:row r="42" ht="13.899999618530273">
      <x:c r="A42" s="33">
        <x:v>39</x:v>
      </x:c>
      <x:c r="B42" s="21">
        <x:f t="shared" si="7"/>
        <x:v>40</x:v>
      </x:c>
      <x:c r="C42" s="21">
        <x:f t="shared" si="8"/>
        <x:v>5000</x:v>
      </x:c>
      <x:c r="D42" s="21">
        <x:f t="shared" si="13"/>
        <x:v>66750</x:v>
      </x:c>
      <x:c r="E42" s="21">
        <x:f t="shared" si="9"/>
        <x:v>66800</x:v>
      </x:c>
      <x:c r="F42" s="21">
        <x:f t="shared" si="10"/>
        <x:v>50</x:v>
      </x:c>
      <x:c r="G42" s="21">
        <x:f t="shared" si="11"/>
        <x:v>133</x:v>
      </x:c>
      <x:c r="H42" s="21">
        <x:f t="shared" si="12"/>
        <x:v>3</x:v>
      </x:c>
      <x:c r="I42" s="23"/>
    </x:row>
    <x:row r="43" ht="27.75">
      <x:c r="A43" s="33">
        <x:v>40</x:v>
      </x:c>
      <x:c r="B43" s="21">
        <x:f t="shared" si="7"/>
        <x:v>41</x:v>
      </x:c>
      <x:c r="C43" s="21">
        <x:f t="shared" si="8"/>
        <x:v>5000</x:v>
      </x:c>
      <x:c r="D43" s="21">
        <x:f t="shared" si="13"/>
        <x:v>71750</x:v>
      </x:c>
      <x:c r="E43" s="21">
        <x:f t="shared" si="9"/>
        <x:v>71800</x:v>
      </x:c>
      <x:c r="F43" s="21">
        <x:f t="shared" si="10"/>
        <x:v>50</x:v>
      </x:c>
      <x:c r="G43" s="21">
        <x:f t="shared" si="11"/>
        <x:v>143</x:v>
      </x:c>
      <x:c r="H43" s="21">
        <x:f t="shared" si="12"/>
        <x:v>3</x:v>
      </x:c>
      <x:c r="I43" s="23" t="s">
        <x:v>133</x:v>
      </x:c>
    </x:row>
    <x:row r="44" ht="13.899999618530273">
      <x:c r="A44" s="33">
        <x:v>41</x:v>
      </x:c>
      <x:c r="B44" s="21">
        <x:f t="shared" si="7"/>
        <x:v>42</x:v>
      </x:c>
      <x:c r="C44" s="21">
        <x:f t="shared" si="8"/>
        <x:v>6000</x:v>
      </x:c>
      <x:c r="D44" s="21">
        <x:f t="shared" si="13"/>
        <x:v>76750</x:v>
      </x:c>
      <x:c r="E44" s="21">
        <x:f t="shared" si="9"/>
        <x:v>76800</x:v>
      </x:c>
      <x:c r="F44" s="21">
        <x:f t="shared" si="10"/>
        <x:v>50</x:v>
      </x:c>
      <x:c r="G44" s="21">
        <x:f t="shared" si="11"/>
        <x:v>153</x:v>
      </x:c>
      <x:c r="H44" s="21">
        <x:f t="shared" si="12"/>
        <x:v>3</x:v>
      </x:c>
      <x:c r="I44" s="23"/>
    </x:row>
    <x:row r="45" ht="13.899999618530273">
      <x:c r="A45" s="33">
        <x:v>42</x:v>
      </x:c>
      <x:c r="B45" s="21">
        <x:f t="shared" si="7"/>
        <x:v>43</x:v>
      </x:c>
      <x:c r="C45" s="21">
        <x:f t="shared" si="8"/>
        <x:v>6000</x:v>
      </x:c>
      <x:c r="D45" s="21">
        <x:f t="shared" si="13"/>
        <x:v>82750</x:v>
      </x:c>
      <x:c r="E45" s="21">
        <x:f t="shared" si="9"/>
        <x:v>82800</x:v>
      </x:c>
      <x:c r="F45" s="21">
        <x:f t="shared" si="10"/>
        <x:v>50</x:v>
      </x:c>
      <x:c r="G45" s="21">
        <x:f t="shared" si="11"/>
        <x:v>165</x:v>
      </x:c>
      <x:c r="H45" s="21">
        <x:f t="shared" si="12"/>
        <x:v>3</x:v>
      </x:c>
      <x:c r="I45" s="23"/>
    </x:row>
    <x:row r="46" ht="13.899999618530273">
      <x:c r="A46" s="33">
        <x:v>43</x:v>
      </x:c>
      <x:c r="B46" s="21">
        <x:f t="shared" si="7"/>
        <x:v>44</x:v>
      </x:c>
      <x:c r="C46" s="21">
        <x:f t="shared" si="8"/>
        <x:v>6000</x:v>
      </x:c>
      <x:c r="D46" s="21">
        <x:f t="shared" si="13"/>
        <x:v>88750</x:v>
      </x:c>
      <x:c r="E46" s="21">
        <x:f t="shared" si="9"/>
        <x:v>88800</x:v>
      </x:c>
      <x:c r="F46" s="21">
        <x:f t="shared" si="10"/>
        <x:v>50</x:v>
      </x:c>
      <x:c r="G46" s="21">
        <x:f t="shared" si="11"/>
        <x:v>177</x:v>
      </x:c>
      <x:c r="H46" s="21">
        <x:f t="shared" si="12"/>
        <x:v>3</x:v>
      </x:c>
      <x:c r="I46" s="23"/>
    </x:row>
    <x:row r="47" ht="13.899999618530273">
      <x:c r="A47" s="33">
        <x:v>44</x:v>
      </x:c>
      <x:c r="B47" s="21">
        <x:f t="shared" si="7"/>
        <x:v>45</x:v>
      </x:c>
      <x:c r="C47" s="21">
        <x:f t="shared" si="8"/>
        <x:v>6000</x:v>
      </x:c>
      <x:c r="D47" s="21">
        <x:f t="shared" si="13"/>
        <x:v>94750</x:v>
      </x:c>
      <x:c r="E47" s="21">
        <x:f t="shared" si="9"/>
        <x:v>94800</x:v>
      </x:c>
      <x:c r="F47" s="21">
        <x:f t="shared" si="10"/>
        <x:v>50</x:v>
      </x:c>
      <x:c r="G47" s="21">
        <x:f t="shared" si="11"/>
        <x:v>189</x:v>
      </x:c>
      <x:c r="H47" s="21">
        <x:f t="shared" si="12"/>
        <x:v>3</x:v>
      </x:c>
      <x:c r="I47" s="23"/>
    </x:row>
    <x:row r="48" ht="13.899999618530273">
      <x:c r="A48" s="33">
        <x:v>45</x:v>
      </x:c>
      <x:c r="B48" s="21">
        <x:f t="shared" si="7"/>
        <x:v>46</x:v>
      </x:c>
      <x:c r="C48" s="21">
        <x:f t="shared" si="8"/>
        <x:v>6000</x:v>
      </x:c>
      <x:c r="D48" s="21">
        <x:f t="shared" si="13"/>
        <x:v>100750</x:v>
      </x:c>
      <x:c r="E48" s="21">
        <x:f t="shared" si="9"/>
        <x:v>100800</x:v>
      </x:c>
      <x:c r="F48" s="21">
        <x:f t="shared" si="10"/>
        <x:v>50</x:v>
      </x:c>
      <x:c r="G48" s="21">
        <x:f t="shared" si="11"/>
        <x:v>201</x:v>
      </x:c>
      <x:c r="H48" s="21">
        <x:f t="shared" si="12"/>
        <x:v>3</x:v>
      </x:c>
      <x:c r="I48" s="23"/>
    </x:row>
    <x:row r="49" ht="13.899999618530273">
      <x:c r="A49" s="33">
        <x:v>46</x:v>
      </x:c>
      <x:c r="B49" s="21">
        <x:f t="shared" si="7"/>
        <x:v>47</x:v>
      </x:c>
      <x:c r="C49" s="21">
        <x:f t="shared" si="8"/>
        <x:v>8000</x:v>
      </x:c>
      <x:c r="D49" s="21">
        <x:f t="shared" si="13"/>
        <x:v>106750</x:v>
      </x:c>
      <x:c r="E49" s="21">
        <x:f t="shared" si="9"/>
        <x:v>106800</x:v>
      </x:c>
      <x:c r="F49" s="21">
        <x:f t="shared" si="10"/>
        <x:v>50</x:v>
      </x:c>
      <x:c r="G49" s="21">
        <x:f t="shared" si="11"/>
        <x:v>213</x:v>
      </x:c>
      <x:c r="H49" s="21">
        <x:f t="shared" si="12"/>
        <x:v>3</x:v>
      </x:c>
      <x:c r="I49" s="23"/>
    </x:row>
    <x:row r="50" ht="13.899999618530273">
      <x:c r="A50" s="33">
        <x:v>47</x:v>
      </x:c>
      <x:c r="B50" s="21">
        <x:f t="shared" si="7"/>
        <x:v>48</x:v>
      </x:c>
      <x:c r="C50" s="21">
        <x:f t="shared" si="8"/>
        <x:v>8000</x:v>
      </x:c>
      <x:c r="D50" s="21">
        <x:f t="shared" si="13"/>
        <x:v>114750</x:v>
      </x:c>
      <x:c r="E50" s="21">
        <x:f t="shared" si="9"/>
        <x:v>114800</x:v>
      </x:c>
      <x:c r="F50" s="21">
        <x:f t="shared" si="10"/>
        <x:v>50</x:v>
      </x:c>
      <x:c r="G50" s="21">
        <x:f t="shared" si="11"/>
        <x:v>229</x:v>
      </x:c>
      <x:c r="H50" s="21">
        <x:f t="shared" si="12"/>
        <x:v>3</x:v>
      </x:c>
      <x:c r="I50" s="23"/>
    </x:row>
    <x:row r="51" ht="13.899999618530273">
      <x:c r="A51" s="33">
        <x:v>48</x:v>
      </x:c>
      <x:c r="B51" s="21">
        <x:f t="shared" si="7"/>
        <x:v>49</x:v>
      </x:c>
      <x:c r="C51" s="21">
        <x:f t="shared" si="8"/>
        <x:v>8000</x:v>
      </x:c>
      <x:c r="D51" s="21">
        <x:f t="shared" si="13"/>
        <x:v>122750</x:v>
      </x:c>
      <x:c r="E51" s="21">
        <x:f t="shared" si="9"/>
        <x:v>122800</x:v>
      </x:c>
      <x:c r="F51" s="21">
        <x:f t="shared" si="10"/>
        <x:v>50</x:v>
      </x:c>
      <x:c r="G51" s="21">
        <x:f t="shared" si="11"/>
        <x:v>245</x:v>
      </x:c>
      <x:c r="H51" s="21">
        <x:f t="shared" si="12"/>
        <x:v>3</x:v>
      </x:c>
      <x:c r="I51" s="23"/>
    </x:row>
    <x:row r="52" ht="13.899999618530273">
      <x:c r="A52" s="33">
        <x:v>49</x:v>
      </x:c>
      <x:c r="B52" s="21">
        <x:f t="shared" si="7"/>
        <x:v>50</x:v>
      </x:c>
      <x:c r="C52" s="21">
        <x:f t="shared" si="8"/>
        <x:v>8000</x:v>
      </x:c>
      <x:c r="D52" s="21">
        <x:f t="shared" si="13"/>
        <x:v>130750</x:v>
      </x:c>
      <x:c r="E52" s="21">
        <x:f t="shared" si="9"/>
        <x:v>130800</x:v>
      </x:c>
      <x:c r="F52" s="21">
        <x:f t="shared" si="10"/>
        <x:v>50</x:v>
      </x:c>
      <x:c r="G52" s="21">
        <x:f t="shared" si="11"/>
        <x:v>261</x:v>
      </x:c>
      <x:c r="H52" s="21">
        <x:f t="shared" si="12"/>
        <x:v>3</x:v>
      </x:c>
      <x:c r="I52" s="23"/>
    </x:row>
    <x:row r="53" ht="27.75">
      <x:c r="A53" s="33">
        <x:v>50</x:v>
      </x:c>
      <x:c r="B53" s="21">
        <x:f t="shared" si="7"/>
        <x:v>51</x:v>
      </x:c>
      <x:c r="C53" s="21">
        <x:f t="shared" si="8"/>
        <x:v>8000</x:v>
      </x:c>
      <x:c r="D53" s="21">
        <x:f t="shared" si="13"/>
        <x:v>138750</x:v>
      </x:c>
      <x:c r="E53" s="21">
        <x:f t="shared" si="9"/>
        <x:v>138800</x:v>
      </x:c>
      <x:c r="F53" s="21">
        <x:f t="shared" si="10"/>
        <x:v>50</x:v>
      </x:c>
      <x:c r="G53" s="21">
        <x:f t="shared" si="11"/>
        <x:v>277</x:v>
      </x:c>
      <x:c r="H53" s="21">
        <x:f t="shared" si="12"/>
        <x:v>3</x:v>
      </x:c>
      <x:c r="I53" s="23" t="s">
        <x:v>134</x:v>
      </x:c>
    </x:row>
    <x:row r="54" ht="13.899999618530273">
      <x:c r="A54" s="33">
        <x:v>51</x:v>
      </x:c>
      <x:c r="B54" s="21">
        <x:f t="shared" si="7"/>
        <x:v>52</x:v>
      </x:c>
      <x:c r="C54" s="21">
        <x:f t="shared" si="8"/>
        <x:v>10000</x:v>
      </x:c>
      <x:c r="D54" s="21">
        <x:f t="shared" si="13"/>
        <x:v>146750</x:v>
      </x:c>
      <x:c r="E54" s="21">
        <x:f t="shared" si="9"/>
        <x:v>146800</x:v>
      </x:c>
      <x:c r="F54" s="21">
        <x:f t="shared" si="10"/>
        <x:v>50</x:v>
      </x:c>
      <x:c r="G54" s="21">
        <x:f t="shared" si="11"/>
        <x:v>293</x:v>
      </x:c>
      <x:c r="H54" s="21">
        <x:f t="shared" si="12"/>
        <x:v>3</x:v>
      </x:c>
      <x:c r="I54" s="23"/>
    </x:row>
    <x:row r="55" ht="13.899999618530273">
      <x:c r="A55" s="33">
        <x:v>52</x:v>
      </x:c>
      <x:c r="B55" s="21">
        <x:f t="shared" si="7"/>
        <x:v>53</x:v>
      </x:c>
      <x:c r="C55" s="21">
        <x:f t="shared" si="8"/>
        <x:v>10000</x:v>
      </x:c>
      <x:c r="D55" s="21">
        <x:f t="shared" si="13"/>
        <x:v>156750</x:v>
      </x:c>
      <x:c r="E55" s="21">
        <x:f t="shared" si="9"/>
        <x:v>156800</x:v>
      </x:c>
      <x:c r="F55" s="21">
        <x:f t="shared" si="10"/>
        <x:v>50</x:v>
      </x:c>
      <x:c r="G55" s="21">
        <x:f t="shared" si="11"/>
        <x:v>313</x:v>
      </x:c>
      <x:c r="H55" s="21">
        <x:f t="shared" si="12"/>
        <x:v>3</x:v>
      </x:c>
      <x:c r="I55" s="23"/>
    </x:row>
    <x:row r="56" ht="13.899999618530273">
      <x:c r="A56" s="33">
        <x:v>53</x:v>
      </x:c>
      <x:c r="B56" s="21">
        <x:f t="shared" si="7"/>
        <x:v>54</x:v>
      </x:c>
      <x:c r="C56" s="21">
        <x:f t="shared" si="8"/>
        <x:v>10000</x:v>
      </x:c>
      <x:c r="D56" s="21">
        <x:f t="shared" si="13"/>
        <x:v>166750</x:v>
      </x:c>
      <x:c r="E56" s="21">
        <x:f t="shared" si="9"/>
        <x:v>166800</x:v>
      </x:c>
      <x:c r="F56" s="21">
        <x:f t="shared" si="10"/>
        <x:v>50</x:v>
      </x:c>
      <x:c r="G56" s="21">
        <x:f t="shared" si="11"/>
        <x:v>333</x:v>
      </x:c>
      <x:c r="H56" s="21">
        <x:f t="shared" si="12"/>
        <x:v>3</x:v>
      </x:c>
      <x:c r="I56" s="23"/>
    </x:row>
    <x:row r="57" ht="13.899999618530273">
      <x:c r="A57" s="33">
        <x:v>54</x:v>
      </x:c>
      <x:c r="B57" s="21">
        <x:f t="shared" si="7"/>
        <x:v>55</x:v>
      </x:c>
      <x:c r="C57" s="21">
        <x:f t="shared" si="8"/>
        <x:v>10000</x:v>
      </x:c>
      <x:c r="D57" s="21">
        <x:f t="shared" si="13"/>
        <x:v>176750</x:v>
      </x:c>
      <x:c r="E57" s="21">
        <x:f t="shared" si="9"/>
        <x:v>176800</x:v>
      </x:c>
      <x:c r="F57" s="21">
        <x:f t="shared" si="10"/>
        <x:v>50</x:v>
      </x:c>
      <x:c r="G57" s="21">
        <x:f t="shared" si="11"/>
        <x:v>353</x:v>
      </x:c>
      <x:c r="H57" s="21">
        <x:f t="shared" si="12"/>
        <x:v>3</x:v>
      </x:c>
      <x:c r="I57" s="23"/>
    </x:row>
    <x:row r="58" ht="13.899999618530273">
      <x:c r="A58" s="33">
        <x:v>55</x:v>
      </x:c>
      <x:c r="B58" s="21">
        <x:f t="shared" si="7"/>
        <x:v>56</x:v>
      </x:c>
      <x:c r="C58" s="21">
        <x:f t="shared" si="8"/>
        <x:v>10000</x:v>
      </x:c>
      <x:c r="D58" s="21">
        <x:f t="shared" si="13"/>
        <x:v>186750</x:v>
      </x:c>
      <x:c r="E58" s="21">
        <x:f t="shared" si="9"/>
        <x:v>186800</x:v>
      </x:c>
      <x:c r="F58" s="21">
        <x:f t="shared" si="10"/>
        <x:v>50</x:v>
      </x:c>
      <x:c r="G58" s="21">
        <x:f t="shared" si="11"/>
        <x:v>373</x:v>
      </x:c>
      <x:c r="H58" s="21">
        <x:f t="shared" si="12"/>
        <x:v>3</x:v>
      </x:c>
      <x:c r="I58" s="23"/>
    </x:row>
    <x:row r="59" ht="13.899999618530273">
      <x:c r="A59" s="33">
        <x:v>56</x:v>
      </x:c>
      <x:c r="B59" s="21">
        <x:f t="shared" si="7"/>
        <x:v>57</x:v>
      </x:c>
      <x:c r="C59" s="21">
        <x:f t="shared" si="8"/>
        <x:v>15000</x:v>
      </x:c>
      <x:c r="D59" s="21">
        <x:f t="shared" si="13"/>
        <x:v>196750</x:v>
      </x:c>
      <x:c r="E59" s="21">
        <x:f t="shared" si="9"/>
        <x:v>196800</x:v>
      </x:c>
      <x:c r="F59" s="21">
        <x:f t="shared" si="10"/>
        <x:v>50</x:v>
      </x:c>
      <x:c r="G59" s="21">
        <x:f t="shared" si="11"/>
        <x:v>393</x:v>
      </x:c>
      <x:c r="H59" s="21">
        <x:f t="shared" si="12"/>
        <x:v>3</x:v>
      </x:c>
      <x:c r="I59" s="23"/>
    </x:row>
    <x:row r="60" ht="13.899999618530273">
      <x:c r="A60" s="33">
        <x:v>57</x:v>
      </x:c>
      <x:c r="B60" s="21">
        <x:f t="shared" si="7"/>
        <x:v>58</x:v>
      </x:c>
      <x:c r="C60" s="21">
        <x:f t="shared" si="8"/>
        <x:v>15000</x:v>
      </x:c>
      <x:c r="D60" s="21">
        <x:f t="shared" si="13"/>
        <x:v>211750</x:v>
      </x:c>
      <x:c r="E60" s="21">
        <x:f t="shared" si="9"/>
        <x:v>211800</x:v>
      </x:c>
      <x:c r="F60" s="21">
        <x:f t="shared" si="10"/>
        <x:v>50</x:v>
      </x:c>
      <x:c r="G60" s="21">
        <x:f t="shared" si="11"/>
        <x:v>423</x:v>
      </x:c>
      <x:c r="H60" s="21">
        <x:f t="shared" si="12"/>
        <x:v>3</x:v>
      </x:c>
      <x:c r="I60" s="23"/>
    </x:row>
    <x:row r="61" ht="13.899999618530273">
      <x:c r="A61" s="33">
        <x:v>58</x:v>
      </x:c>
      <x:c r="B61" s="21">
        <x:f t="shared" si="7"/>
        <x:v>59</x:v>
      </x:c>
      <x:c r="C61" s="21">
        <x:f t="shared" si="8"/>
        <x:v>15000</x:v>
      </x:c>
      <x:c r="D61" s="21">
        <x:f t="shared" si="13"/>
        <x:v>226750</x:v>
      </x:c>
      <x:c r="E61" s="21">
        <x:f t="shared" si="9"/>
        <x:v>226800</x:v>
      </x:c>
      <x:c r="F61" s="21">
        <x:f t="shared" si="10"/>
        <x:v>50</x:v>
      </x:c>
      <x:c r="G61" s="21">
        <x:f t="shared" si="11"/>
        <x:v>453</x:v>
      </x:c>
      <x:c r="H61" s="21">
        <x:f t="shared" si="12"/>
        <x:v>3</x:v>
      </x:c>
      <x:c r="I61" s="23"/>
    </x:row>
    <x:row r="62" ht="13.899999618530273">
      <x:c r="A62" s="33">
        <x:v>59</x:v>
      </x:c>
      <x:c r="B62" s="21">
        <x:f t="shared" si="7"/>
        <x:v>60</x:v>
      </x:c>
      <x:c r="C62" s="21">
        <x:f t="shared" si="8"/>
        <x:v>15000</x:v>
      </x:c>
      <x:c r="D62" s="21">
        <x:f t="shared" si="13"/>
        <x:v>241750</x:v>
      </x:c>
      <x:c r="E62" s="21">
        <x:f t="shared" si="9"/>
        <x:v>241800</x:v>
      </x:c>
      <x:c r="F62" s="21">
        <x:f t="shared" si="10"/>
        <x:v>50</x:v>
      </x:c>
      <x:c r="G62" s="21">
        <x:f t="shared" si="11"/>
        <x:v>483</x:v>
      </x:c>
      <x:c r="H62" s="21">
        <x:f t="shared" si="12"/>
        <x:v>3</x:v>
      </x:c>
      <x:c r="I62" s="23"/>
    </x:row>
    <x:row r="63" ht="27.75">
      <x:c r="A63" s="40">
        <x:v>60</x:v>
      </x:c>
      <x:c r="B63" s="22" t="str">
        <x:f t="shared" si="7"/>
        <x:v>—</x:v>
      </x:c>
      <x:c r="C63" s="22">
        <x:f t="shared" si="8"/>
        <x:v>15000</x:v>
      </x:c>
      <x:c r="D63" s="22">
        <x:f t="shared" si="13"/>
        <x:v>256750</x:v>
      </x:c>
      <x:c r="E63" s="22">
        <x:f t="shared" si="9"/>
        <x:v>256800</x:v>
      </x:c>
      <x:c r="F63" s="22">
        <x:f t="shared" si="10"/>
        <x:v>50</x:v>
      </x:c>
      <x:c r="G63" s="22">
        <x:f t="shared" si="11"/>
        <x:v>513</x:v>
      </x:c>
      <x:c r="H63" s="22">
        <x:f t="shared" si="12"/>
        <x:v>3</x:v>
      </x:c>
      <x:c r="I63" s="24" t="s">
        <x:v>135</x:v>
      </x:c>
    </x:row>
    <x:row r="64" ht="13.899999618530273">
      <x:c r="A64" s="33"/>
    </x:row>
    <x:row r="65" ht="13.899999618530273">
      <x:c r="A65" s="33"/>
    </x:row>
    <x:row r="66" ht="13.899999618530273">
      <x:c r="A66" s="33"/>
    </x:row>
    <x:row r="67" ht="13.899999618530273">
      <x:c r="A67" s="33"/>
    </x:row>
    <x:row r="68" ht="13.899999618530273">
      <x:c r="A68" s="33"/>
    </x:row>
    <x:row r="69" ht="13.899999618530273">
      <x:c r="A69" s="33"/>
    </x:row>
    <x:row r="70" ht="13.899999618530273">
      <x:c r="A70" s="33"/>
    </x:row>
    <x:row r="71" ht="13.899999618530273">
      <x:c r="A71" s="33"/>
    </x:row>
    <x:row r="72" ht="13.899999618530273">
      <x:c r="A72" s="33"/>
    </x:row>
    <x:row r="73" ht="13.899999618530273">
      <x:c r="A73" s="33"/>
    </x:row>
    <x:row r="74" ht="13.899999618530273">
      <x:c r="A74" s="33"/>
    </x:row>
    <x:row r="75" ht="13.899999618530273">
      <x:c r="A75" s="33"/>
    </x:row>
    <x:row r="76" ht="13.899999618530273">
      <x:c r="A76" s="33"/>
    </x:row>
    <x:row r="77" ht="13.899999618530273">
      <x:c r="A77" s="33"/>
    </x:row>
    <x:row r="78" ht="13.899999618530273">
      <x:c r="A78" s="33"/>
    </x:row>
    <x:row r="79" ht="13.899999618530273">
      <x:c r="A79" s="33"/>
    </x:row>
    <x:row r="80" ht="13.899999618530273">
      <x:c r="A80" s="33"/>
    </x:row>
    <x:row r="81" ht="13.899999618530273">
      <x:c r="A81" s="33"/>
    </x:row>
    <x:row r="82" ht="13.899999618530273">
      <x:c r="A82" s="33"/>
    </x:row>
    <x:row r="83" ht="13.899999618530273">
      <x:c r="A83" s="33"/>
    </x:row>
    <x:row r="84" ht="13.899999618530273">
      <x:c r="A84" s="33"/>
    </x:row>
    <x:row r="85" ht="13.899999618530273">
      <x:c r="A85" s="33"/>
    </x:row>
    <x:row r="86" ht="13.899999618530273">
      <x:c r="A86" s="33"/>
    </x:row>
    <x:row r="87" ht="13.899999618530273">
      <x:c r="A87" s="33"/>
    </x:row>
    <x:row r="88" ht="13.899999618530273">
      <x:c r="A88" s="33"/>
    </x:row>
    <x:row r="89" ht="13.899999618530273">
      <x:c r="A89" s="33"/>
    </x:row>
    <x:row r="90" ht="13.899999618530273">
      <x:c r="A90" s="33"/>
    </x:row>
    <x:row r="91" ht="13.899999618530273">
      <x:c r="A91" s="33"/>
    </x:row>
    <x:row r="92" ht="13.899999618530273">
      <x:c r="A92" s="33"/>
    </x:row>
    <x:row r="93" ht="13.899999618530273">
      <x:c r="A93" s="33"/>
    </x:row>
    <x:row r="94" ht="13.899999618530273">
      <x:c r="A94" s="33"/>
    </x:row>
    <x:row r="95" ht="13.899999618530273">
      <x:c r="A95" s="33"/>
    </x:row>
    <x:row r="96" ht="13.899999618530273">
      <x:c r="A96" s="33"/>
    </x:row>
    <x:row r="97" ht="13.899999618530273">
      <x:c r="A97" s="33"/>
    </x:row>
    <x:row r="98" ht="13.899999618530273">
      <x:c r="A98" s="33"/>
    </x:row>
    <x:row r="99" ht="13.899999618530273">
      <x:c r="A99" s="33"/>
    </x:row>
    <x:row r="100" ht="13.899999618530273">
      <x:c r="A100" s="33"/>
    </x:row>
    <x:row r="101" ht="13.899999618530273">
      <x:c r="A101" s="33"/>
    </x:row>
    <x:row r="102" ht="13.899999618530273">
      <x:c r="A102" s="33"/>
    </x:row>
    <x:row r="103" ht="13.899999618530273">
      <x:c r="A103" s="33"/>
    </x:row>
    <x:row r="104" ht="13.899999618530273">
      <x:c r="A104" s="33"/>
    </x:row>
    <x:row r="105" ht="13.899999618530273">
      <x:c r="A105" s="33"/>
    </x:row>
    <x:row r="106" ht="13.899999618530273">
      <x:c r="A106" s="33"/>
    </x:row>
    <x:row r="107" ht="13.899999618530273">
      <x:c r="A107" s="33"/>
    </x:row>
    <x:row r="108" ht="13.899999618530273">
      <x:c r="A108" s="33"/>
    </x:row>
    <x:row r="109" ht="13.899999618530273">
      <x:c r="A109" s="33"/>
    </x:row>
    <x:row r="110" ht="13.899999618530273">
      <x:c r="A110" s="33"/>
    </x:row>
    <x:row r="111" ht="13.899999618530273">
      <x:c r="A111" s="33"/>
    </x:row>
    <x:row r="112" ht="13.899999618530273">
      <x:c r="A112" s="33"/>
    </x:row>
    <x:row r="113" ht="13.899999618530273">
      <x:c r="A113" s="33"/>
    </x:row>
    <x:row r="114" ht="13.899999618530273">
      <x:c r="A114" s="33"/>
    </x:row>
    <x:row r="115" ht="13.899999618530273">
      <x:c r="A115" s="33"/>
    </x:row>
    <x:row r="116" ht="13.899999618530273">
      <x:c r="A116" s="33"/>
    </x:row>
    <x:row r="117" ht="13.899999618530273">
      <x:c r="A117" s="33"/>
    </x:row>
    <x:row r="118" ht="13.899999618530273">
      <x:c r="A118" s="33"/>
    </x:row>
    <x:row r="119" ht="13.899999618530273">
      <x:c r="A119" s="33"/>
    </x:row>
    <x:row r="120" ht="13.899999618530273">
      <x:c r="A120" s="33"/>
    </x:row>
    <x:row r="121" ht="13.899999618530273">
      <x:c r="A121" s="33"/>
    </x:row>
    <x:row r="122" ht="13.899999618530273">
      <x:c r="A122" s="33"/>
    </x:row>
    <x:row r="123" ht="13.899999618530273">
      <x:c r="A123" s="33"/>
    </x:row>
    <x:row r="124" ht="13.899999618530273">
      <x:c r="A124" s="33"/>
    </x:row>
    <x:row r="125" ht="13.899999618530273">
      <x:c r="A125" s="33"/>
    </x:row>
    <x:row r="126" ht="13.899999618530273">
      <x:c r="A126" s="33"/>
    </x:row>
    <x:row r="127" ht="13.899999618530273">
      <x:c r="A127" s="33"/>
    </x:row>
    <x:row r="128" ht="13.899999618530273">
      <x:c r="A128" s="33"/>
    </x:row>
    <x:row r="129" ht="13.899999618530273">
      <x:c r="A129" s="33"/>
    </x:row>
    <x:row r="130" ht="13.899999618530273">
      <x:c r="A130" s="33"/>
    </x:row>
    <x:row r="131" ht="13.899999618530273">
      <x:c r="A131" s="33"/>
    </x:row>
    <x:row r="132" ht="13.899999618530273">
      <x:c r="A132" s="33"/>
    </x:row>
    <x:row r="133" ht="13.899999618530273">
      <x:c r="A133" s="33"/>
    </x:row>
    <x:row r="134" ht="13.899999618530273">
      <x:c r="A134" s="33"/>
    </x:row>
    <x:row r="135" ht="13.899999618530273">
      <x:c r="A135" s="33"/>
    </x:row>
    <x:row r="136" ht="13.899999618530273">
      <x:c r="A136" s="33"/>
    </x:row>
    <x:row r="137" ht="13.899999618530273">
      <x:c r="A137" s="33"/>
    </x:row>
    <x:row r="138" ht="13.899999618530273">
      <x:c r="A138" s="33"/>
    </x:row>
    <x:row r="139" ht="13.899999618530273">
      <x:c r="A139" s="33"/>
    </x:row>
    <x:row r="140" ht="13.899999618530273">
      <x:c r="A140" s="33"/>
    </x:row>
    <x:row r="141" ht="13.899999618530273">
      <x:c r="A141" s="33"/>
    </x:row>
    <x:row r="142" ht="13.899999618530273">
      <x:c r="A142" s="33"/>
    </x:row>
    <x:row r="143" ht="13.899999618530273">
      <x:c r="A143" s="33"/>
    </x:row>
    <x:row r="144" ht="13.899999618530273">
      <x:c r="A144" s="33"/>
    </x:row>
    <x:row r="145" ht="13.899999618530273">
      <x:c r="A145" s="33"/>
    </x:row>
    <x:row r="146" ht="13.899999618530273">
      <x:c r="A146" s="33"/>
    </x:row>
    <x:row r="147" ht="13.899999618530273">
      <x:c r="A147" s="33"/>
    </x:row>
    <x:row r="148" ht="13.899999618530273">
      <x:c r="A148" s="33"/>
    </x:row>
    <x:row r="149" ht="13.899999618530273">
      <x:c r="A149" s="33"/>
    </x:row>
    <x:row r="150" ht="13.899999618530273">
      <x:c r="A150" s="33"/>
    </x:row>
    <x:row r="151" ht="13.899999618530273">
      <x:c r="A151" s="33"/>
    </x:row>
    <x:row r="152" ht="13.899999618530273">
      <x:c r="A152" s="33"/>
    </x:row>
    <x:row r="153" ht="13.899999618530273">
      <x:c r="A153" s="33"/>
    </x:row>
    <x:row r="154" ht="13.899999618530273">
      <x:c r="A154" s="33"/>
    </x:row>
    <x:row r="155" ht="13.899999618530273">
      <x:c r="A155" s="33"/>
    </x:row>
    <x:row r="156" ht="13.899999618530273">
      <x:c r="A156" s="33"/>
    </x:row>
    <x:row r="157" ht="13.899999618530273">
      <x:c r="A157" s="33"/>
    </x:row>
    <x:row r="158" ht="13.899999618530273">
      <x:c r="A158" s="33"/>
    </x:row>
    <x:row r="159" ht="13.899999618530273">
      <x:c r="A159" s="33"/>
    </x:row>
    <x:row r="160" ht="13.899999618530273">
      <x:c r="A160" s="33"/>
    </x:row>
    <x:row r="161" ht="13.899999618530273">
      <x:c r="A161" s="33"/>
    </x:row>
    <x:row r="162" ht="13.899999618530273">
      <x:c r="A162" s="33"/>
    </x:row>
    <x:row r="163" ht="13.899999618530273">
      <x:c r="A163" s="33"/>
    </x:row>
    <x:row r="164" ht="13.899999618530273">
      <x:c r="A164" s="33"/>
    </x:row>
    <x:row r="165" ht="13.899999618530273">
      <x:c r="A165" s="33"/>
    </x:row>
    <x:row r="166" ht="13.899999618530273">
      <x:c r="A166" s="33"/>
    </x:row>
    <x:row r="167" ht="13.899999618530273">
      <x:c r="A167" s="33"/>
    </x:row>
    <x:row r="168" ht="13.899999618530273">
      <x:c r="A168" s="33"/>
    </x:row>
    <x:row r="169" ht="13.899999618530273">
      <x:c r="A169" s="33"/>
    </x:row>
    <x:row r="170" ht="13.899999618530273">
      <x:c r="A170" s="33"/>
    </x:row>
    <x:row r="171" ht="13.899999618530273">
      <x:c r="A171" s="33"/>
    </x:row>
    <x:row r="172" ht="13.899999618530273">
      <x:c r="A172" s="33"/>
    </x:row>
    <x:row r="173" ht="13.899999618530273">
      <x:c r="A173" s="33"/>
    </x:row>
    <x:row r="174" ht="13.899999618530273">
      <x:c r="A174" s="33"/>
    </x:row>
    <x:row r="175" ht="13.899999618530273">
      <x:c r="A175" s="33"/>
    </x:row>
    <x:row r="176" ht="13.899999618530273">
      <x:c r="A176" s="33"/>
    </x:row>
    <x:row r="177" ht="13.899999618530273">
      <x:c r="A177" s="33"/>
    </x:row>
    <x:row r="178" ht="13.899999618530273">
      <x:c r="A178" s="33"/>
    </x:row>
    <x:row r="179" ht="13.899999618530273">
      <x:c r="A179" s="33"/>
    </x:row>
    <x:row r="180" ht="13.899999618530273">
      <x:c r="A180" s="33"/>
    </x:row>
    <x:row r="181" ht="13.899999618530273">
      <x:c r="A181" s="33"/>
    </x:row>
    <x:row r="182" ht="13.899999618530273">
      <x:c r="A182" s="33"/>
    </x:row>
    <x:row r="183" ht="13.899999618530273">
      <x:c r="A183" s="33"/>
    </x:row>
    <x:row r="184" ht="13.899999618530273">
      <x:c r="A184" s="33"/>
    </x:row>
    <x:row r="185" ht="13.899999618530273">
      <x:c r="A185" s="33"/>
    </x:row>
    <x:row r="186" ht="13.899999618530273">
      <x:c r="A186" s="33"/>
    </x:row>
    <x:row r="187" ht="13.899999618530273">
      <x:c r="A187" s="33"/>
    </x:row>
    <x:row r="188" ht="13.899999618530273">
      <x:c r="A188" s="33"/>
    </x:row>
    <x:row r="189" ht="13.899999618530273">
      <x:c r="A189" s="33"/>
    </x:row>
    <x:row r="190" ht="13.899999618530273">
      <x:c r="A190" s="33"/>
    </x:row>
    <x:row r="191" ht="13.899999618530273">
      <x:c r="A191" s="33"/>
    </x:row>
    <x:row r="192" ht="13.899999618530273">
      <x:c r="A192" s="33"/>
    </x:row>
    <x:row r="193" ht="13.899999618530273">
      <x:c r="A193" s="33"/>
    </x:row>
    <x:row r="194" ht="13.899999618530273">
      <x:c r="A194" s="33"/>
    </x:row>
    <x:row r="195" ht="13.899999618530273">
      <x:c r="A195" s="33"/>
    </x:row>
    <x:row r="196" ht="13.899999618530273">
      <x:c r="A196" s="33"/>
    </x:row>
    <x:row r="197" ht="13.899999618530273">
      <x:c r="A197" s="33"/>
    </x:row>
    <x:row r="198" ht="13.899999618530273">
      <x:c r="A198" s="33"/>
    </x:row>
    <x:row r="199" ht="13.899999618530273">
      <x:c r="A199" s="33"/>
    </x:row>
    <x:row r="200" ht="13.899999618530273">
      <x:c r="A200" s="33"/>
    </x:row>
  </x:sheetData>
  <x:mergeCells>
    <x:mergeCell ref="A1:I1"/>
  </x:mergeCells>
  <x:conditionalFormatting sqref="A4:I63">
    <x:cfRule type="expression" dxfId="0" priority="1">
      <x:formula>OR($A4=10,$A4=20,$A4=30,$A4=40,$A4=50,$A4=60)</x:formula>
    </x:cfRule>
  </x:conditionalFormatting>
  <x:pageMargins left="0.7" right="0.7" top="0.75" bottom="0.75" header="0.3" footer="0.3"/>
  <x:drawing xmlns:r="http://schemas.openxmlformats.org/officeDocument/2006/relationships" r:id="R9703fc4e73b4455c"/>
  <x:tableParts count="1">
    <x:tablePart xmlns:r="http://schemas.openxmlformats.org/officeDocument/2006/relationships" r:id="Ra34bf3e583524d17"/>
  </x:tableParts>
</x:worksheet>
</file>

<file path=xl/worksheets/sheet4.xml><?xml version="1.0" encoding="utf-8"?>
<x:worksheet xmlns:x="http://schemas.openxmlformats.org/spreadsheetml/2006/main">
  <x:sheetFormatPr defaultRowHeight="13.5"/>
  <x:cols>
    <x:col min="1" max="1" width="20" customWidth="1"/>
    <x:col min="2" max="2" width="14" customWidth="1"/>
    <x:col min="3" max="3" width="4" customWidth="1"/>
    <x:col min="4" max="4" width="22" customWidth="1"/>
    <x:col min="5" max="5" width="16" customWidth="1"/>
    <x:col min="6" max="6" width="34" customWidth="1"/>
  </x:cols>
  <x:sheetData>
    <x:row r="1" ht="18.75">
      <x:c r="A1" s="53" t="s">
        <x:v>136</x:v>
      </x:c>
      <x:c r="B1" s="54"/>
      <x:c r="C1" s="54"/>
      <x:c r="D1" s="54"/>
      <x:c r="E1" s="54"/>
      <x:c r="F1" s="54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ht="13.899999618530273">
      <x:c r="A2" s="33"/>
    </x:row>
    <x:row r="3" ht="14.649999618530273">
      <x:c r="A3" s="39" t="s">
        <x:v>137</x:v>
      </x:c>
      <x:c r="B3" s="14" t="s">
        <x:v>138</x:v>
      </x:c>
      <x:c r="D3" s="14" t="s">
        <x:v>139</x:v>
      </x:c>
      <x:c r="E3" s="14" t="s">
        <x:v>138</x:v>
      </x:c>
      <x:c r="F3" s="14" t="s">
        <x:v>128</x:v>
      </x:c>
    </x:row>
    <x:row r="4" ht="27.399999618530273">
      <x:c r="A4" s="33" t="s">
        <x:v>121</x:v>
      </x:c>
      <x:c r="B4" s="25">
        <x:v>1</x:v>
      </x:c>
      <x:c r="D4" s="26" t="s">
        <x:v>62</x:v>
      </x:c>
      <x:c r="E4" s="28" t="e">
        <x:f>IF(B5&lt;=B4,0,SUMIFS(逐级经验明细!$C$4:$C$63,逐级经验明细!$A$4:$A$63,"&gt;="&amp;B4,逐级经验明细!$A$4:$A$63,"&lt;"&amp;B5))</x:f>
        <x:v>#NAME?</x:v>
      </x:c>
      <x:c r="F4" s="3" t="s">
        <x:v>140</x:v>
      </x:c>
    </x:row>
    <x:row r="5" ht="13.899999618530273">
      <x:c r="A5" s="33" t="s">
        <x:v>141</x:v>
      </x:c>
      <x:c r="B5" s="25">
        <x:v>60</x:v>
      </x:c>
      <x:c r="D5" s="26" t="s">
        <x:v>66</x:v>
      </x:c>
      <x:c r="E5" s="28" t="e">
        <x:f>ROUNDUP(E4/100,0)*100</x:f>
        <x:v>#NAME?</x:v>
      </x:c>
      <x:c r="F5" s="3" t="s">
        <x:v>142</x:v>
      </x:c>
    </x:row>
    <x:row r="6" ht="13.899999618530273">
      <x:c r="A6" s="33" t="s">
        <x:v>143</x:v>
      </x:c>
      <x:c r="B6" s="25">
        <x:v>0</x:v>
      </x:c>
      <x:c r="D6" s="26" t="s">
        <x:v>70</x:v>
      </x:c>
      <x:c r="E6" s="28" t="e">
        <x:f>INT(E5/500)</x:f>
        <x:v>#NAME?</x:v>
      </x:c>
      <x:c r="F6" s="3" t="s">
        <x:v>144</x:v>
      </x:c>
    </x:row>
    <x:row r="7" ht="13.899999618530273">
      <x:c r="A7" s="33" t="s">
        <x:v>145</x:v>
      </x:c>
      <x:c r="B7" s="25">
        <x:v>0</x:v>
      </x:c>
      <x:c r="D7" s="26" t="s">
        <x:v>74</x:v>
      </x:c>
      <x:c r="E7" s="28" t="e">
        <x:f>MOD(E5,500)/100</x:f>
        <x:v>#NAME?</x:v>
      </x:c>
      <x:c r="F7" s="3" t="s">
        <x:v>146</x:v>
      </x:c>
    </x:row>
    <x:row r="8" ht="13.899999618530273">
      <x:c r="A8" s="33" t="s">
        <x:v>147</x:v>
      </x:c>
      <x:c r="B8" s="25">
        <x:v>0</x:v>
      </x:c>
      <x:c r="D8" s="26" t="s">
        <x:v>78</x:v>
      </x:c>
      <x:c r="E8" s="28" t="n">
        <x:f>B6*1000+B7*500+B8*100</x:f>
        <x:v>0</x:v>
      </x:c>
      <x:c r="F8" s="3" t="s">
        <x:v>148</x:v>
      </x:c>
    </x:row>
    <x:row r="9" ht="13.899999618530273">
      <x:c r="A9" s="33"/>
      <x:c r="D9" s="26" t="s">
        <x:v>82</x:v>
      </x:c>
      <x:c r="E9" s="28" t="e">
        <x:f>MAX(0,E5-E8)</x:f>
        <x:v>#NAME?</x:v>
      </x:c>
      <x:c r="F9" s="3" t="s">
        <x:v>149</x:v>
      </x:c>
    </x:row>
    <x:row r="10" ht="14.649999618530273">
      <x:c r="A10" s="41"/>
      <x:c r="B10" s="30"/>
      <x:c r="C10" s="30"/>
      <x:c r="D10" s="30" t="s">
        <x:v>150</x:v>
      </x:c>
      <x:c r="E10" s="30" t="e">
        <x:f>INT(E9/500)</x:f>
        <x:v>#NAME?</x:v>
      </x:c>
      <x:c r="F10" s="30" t="s">
        <x:v>151</x:v>
      </x:c>
    </x:row>
    <x:row r="11" ht="13.899999618530273">
      <x:c r="A11" s="33"/>
      <x:c r="D11" s="26" t="s">
        <x:v>152</x:v>
      </x:c>
      <x:c r="E11" s="28" t="e">
        <x:f>MOD(E9,500)/100</x:f>
        <x:v>#NAME?</x:v>
      </x:c>
      <x:c r="F11" s="3"/>
    </x:row>
    <x:row r="12" ht="13.899999618530273">
      <x:c r="A12" s="33"/>
      <x:c r="D12" s="26" t="s">
        <x:v>86</x:v>
      </x:c>
      <x:c r="E12" s="28" t="e">
        <x:f>ROUNDUP(E9/500,0)</x:f>
        <x:v>#NAME?</x:v>
      </x:c>
      <x:c r="F12" s="3" t="s">
        <x:v>153</x:v>
      </x:c>
    </x:row>
    <x:row r="13" ht="13.899999618530273">
      <x:c r="A13" s="33"/>
      <x:c r="D13" s="26" t="s">
        <x:v>57</x:v>
      </x:c>
      <x:c r="E13" s="28" t="e">
        <x:f>ROUNDUP(E9/1500,0)</x:f>
        <x:v>#NAME?</x:v>
      </x:c>
      <x:c r="F13" s="3" t="s">
        <x:v>90</x:v>
      </x:c>
    </x:row>
    <x:row r="14" ht="13.899999618530273">
      <x:c r="A14" s="33"/>
      <x:c r="D14" s="27" t="s">
        <x:v>54</x:v>
      </x:c>
      <x:c r="E14" s="29" t="e">
        <x:f>E13*10</x:f>
        <x:v>#NAME?</x:v>
      </x:c>
      <x:c r="F14" s="13" t="s">
        <x:v>55</x:v>
      </x:c>
    </x:row>
    <x:row r="15" ht="13.899999618530273">
      <x:c r="A15" s="33"/>
    </x:row>
    <x:row r="16" ht="13.050000190734863" customHeight="1">
      <x:c r="A16" s="55" t="s">
        <x:v>154</x:v>
      </x:c>
      <x:c r="B16" s="56"/>
      <x:c r="C16" s="56"/>
      <x:c r="D16" s="56"/>
      <x:c r="E16" s="56"/>
      <x:c r="F16" s="56"/>
    </x:row>
    <x:row r="17" ht="13.050000190734863" customHeight="1">
      <x:c r="A17" s="55"/>
      <x:c r="B17" s="56"/>
      <x:c r="C17" s="56"/>
      <x:c r="D17" s="56"/>
      <x:c r="E17" s="56"/>
      <x:c r="F17" s="56"/>
    </x:row>
    <x:row r="18" ht="13.899999618530273">
      <x:c r="A18" s="33"/>
    </x:row>
    <x:row r="19" ht="13.899999618530273">
      <x:c r="A19" s="33"/>
    </x:row>
    <x:row r="20" ht="13.899999618530273">
      <x:c r="A20" s="33"/>
    </x:row>
    <x:row r="21" ht="13.899999618530273">
      <x:c r="A21" s="33"/>
    </x:row>
    <x:row r="22" ht="13.899999618530273">
      <x:c r="A22" s="33"/>
    </x:row>
    <x:row r="23" ht="13.899999618530273">
      <x:c r="A23" s="33"/>
    </x:row>
    <x:row r="24" ht="13.899999618530273">
      <x:c r="A24" s="33"/>
    </x:row>
    <x:row r="25" ht="13.899999618530273">
      <x:c r="A25" s="33"/>
    </x:row>
    <x:row r="26" ht="13.899999618530273">
      <x:c r="A26" s="33"/>
    </x:row>
    <x:row r="27" ht="13.899999618530273">
      <x:c r="A27" s="33"/>
    </x:row>
    <x:row r="28" ht="13.899999618530273">
      <x:c r="A28" s="33"/>
    </x:row>
    <x:row r="29" ht="13.899999618530273">
      <x:c r="A29" s="33"/>
    </x:row>
    <x:row r="30" ht="13.899999618530273">
      <x:c r="A30" s="33"/>
    </x:row>
    <x:row r="31" ht="13.899999618530273">
      <x:c r="A31" s="33"/>
    </x:row>
    <x:row r="32" ht="13.899999618530273">
      <x:c r="A32" s="33"/>
    </x:row>
    <x:row r="33" ht="13.899999618530273">
      <x:c r="A33" s="33"/>
    </x:row>
    <x:row r="34" ht="13.899999618530273">
      <x:c r="A34" s="33"/>
    </x:row>
    <x:row r="35" ht="13.899999618530273">
      <x:c r="A35" s="33"/>
    </x:row>
    <x:row r="36" ht="13.899999618530273">
      <x:c r="A36" s="33"/>
    </x:row>
    <x:row r="37" ht="13.899999618530273">
      <x:c r="A37" s="33"/>
    </x:row>
    <x:row r="38" ht="13.899999618530273">
      <x:c r="A38" s="33"/>
    </x:row>
    <x:row r="39" ht="13.899999618530273">
      <x:c r="A39" s="33"/>
    </x:row>
    <x:row r="40" ht="13.899999618530273">
      <x:c r="A40" s="33"/>
    </x:row>
    <x:row r="41" ht="13.899999618530273">
      <x:c r="A41" s="33"/>
    </x:row>
    <x:row r="42" ht="13.899999618530273">
      <x:c r="A42" s="33"/>
    </x:row>
    <x:row r="43" ht="13.899999618530273">
      <x:c r="A43" s="33"/>
    </x:row>
    <x:row r="44" ht="13.899999618530273">
      <x:c r="A44" s="33"/>
    </x:row>
    <x:row r="45" ht="13.899999618530273">
      <x:c r="A45" s="33"/>
    </x:row>
    <x:row r="46" ht="13.899999618530273">
      <x:c r="A46" s="33"/>
    </x:row>
    <x:row r="47" ht="13.899999618530273">
      <x:c r="A47" s="33"/>
    </x:row>
    <x:row r="48" ht="13.899999618530273">
      <x:c r="A48" s="33"/>
    </x:row>
    <x:row r="49" ht="13.899999618530273">
      <x:c r="A49" s="33"/>
    </x:row>
    <x:row r="50" ht="13.899999618530273">
      <x:c r="A50" s="33"/>
    </x:row>
    <x:row r="51" ht="13.899999618530273">
      <x:c r="A51" s="33"/>
    </x:row>
    <x:row r="52" ht="13.899999618530273">
      <x:c r="A52" s="33"/>
    </x:row>
    <x:row r="53" ht="13.899999618530273">
      <x:c r="A53" s="33"/>
    </x:row>
    <x:row r="54" ht="13.899999618530273">
      <x:c r="A54" s="33"/>
    </x:row>
    <x:row r="55" ht="13.899999618530273">
      <x:c r="A55" s="33"/>
    </x:row>
    <x:row r="56" ht="13.899999618530273">
      <x:c r="A56" s="33"/>
    </x:row>
    <x:row r="57" ht="13.899999618530273">
      <x:c r="A57" s="33"/>
    </x:row>
    <x:row r="58" ht="13.899999618530273">
      <x:c r="A58" s="33"/>
    </x:row>
    <x:row r="59" ht="13.899999618530273">
      <x:c r="A59" s="33"/>
    </x:row>
    <x:row r="60" ht="13.899999618530273">
      <x:c r="A60" s="33"/>
    </x:row>
    <x:row r="61" ht="13.899999618530273">
      <x:c r="A61" s="33"/>
    </x:row>
    <x:row r="62" ht="13.899999618530273">
      <x:c r="A62" s="33"/>
    </x:row>
    <x:row r="63" ht="13.899999618530273">
      <x:c r="A63" s="33"/>
    </x:row>
    <x:row r="64" ht="13.899999618530273">
      <x:c r="A64" s="33"/>
    </x:row>
    <x:row r="65" ht="13.899999618530273">
      <x:c r="A65" s="33"/>
    </x:row>
    <x:row r="66" ht="13.899999618530273">
      <x:c r="A66" s="33"/>
    </x:row>
    <x:row r="67" ht="13.899999618530273">
      <x:c r="A67" s="33"/>
    </x:row>
    <x:row r="68" ht="13.899999618530273">
      <x:c r="A68" s="33"/>
    </x:row>
    <x:row r="69" ht="13.899999618530273">
      <x:c r="A69" s="33"/>
    </x:row>
    <x:row r="70" ht="13.899999618530273">
      <x:c r="A70" s="33"/>
    </x:row>
    <x:row r="71" ht="13.899999618530273">
      <x:c r="A71" s="33"/>
    </x:row>
    <x:row r="72" ht="13.899999618530273">
      <x:c r="A72" s="33"/>
    </x:row>
    <x:row r="73" ht="13.899999618530273">
      <x:c r="A73" s="33"/>
    </x:row>
    <x:row r="74" ht="13.899999618530273">
      <x:c r="A74" s="33"/>
    </x:row>
    <x:row r="75" ht="13.899999618530273">
      <x:c r="A75" s="33"/>
    </x:row>
    <x:row r="76" ht="13.899999618530273">
      <x:c r="A76" s="33"/>
    </x:row>
    <x:row r="77" ht="13.899999618530273">
      <x:c r="A77" s="33"/>
    </x:row>
    <x:row r="78" ht="13.899999618530273">
      <x:c r="A78" s="33"/>
    </x:row>
    <x:row r="79" ht="13.899999618530273">
      <x:c r="A79" s="33"/>
    </x:row>
    <x:row r="80" ht="13.899999618530273">
      <x:c r="A80" s="33"/>
    </x:row>
    <x:row r="81" ht="13.899999618530273">
      <x:c r="A81" s="33"/>
    </x:row>
    <x:row r="82" ht="13.899999618530273">
      <x:c r="A82" s="33"/>
    </x:row>
    <x:row r="83" ht="13.899999618530273">
      <x:c r="A83" s="33"/>
    </x:row>
    <x:row r="84" ht="13.899999618530273">
      <x:c r="A84" s="33"/>
    </x:row>
    <x:row r="85" ht="13.899999618530273">
      <x:c r="A85" s="33"/>
    </x:row>
    <x:row r="86" ht="13.899999618530273">
      <x:c r="A86" s="33"/>
    </x:row>
    <x:row r="87" ht="13.899999618530273">
      <x:c r="A87" s="33"/>
    </x:row>
    <x:row r="88" ht="13.899999618530273">
      <x:c r="A88" s="33"/>
    </x:row>
    <x:row r="89" ht="13.899999618530273">
      <x:c r="A89" s="33"/>
    </x:row>
    <x:row r="90" ht="13.899999618530273">
      <x:c r="A90" s="33"/>
    </x:row>
    <x:row r="91" ht="13.899999618530273">
      <x:c r="A91" s="33"/>
    </x:row>
    <x:row r="92" ht="13.899999618530273">
      <x:c r="A92" s="33"/>
    </x:row>
    <x:row r="93" ht="13.899999618530273">
      <x:c r="A93" s="33"/>
    </x:row>
    <x:row r="94" ht="13.899999618530273">
      <x:c r="A94" s="33"/>
    </x:row>
    <x:row r="95" ht="13.899999618530273">
      <x:c r="A95" s="33"/>
    </x:row>
    <x:row r="96" ht="13.899999618530273">
      <x:c r="A96" s="33"/>
    </x:row>
    <x:row r="97" ht="13.899999618530273">
      <x:c r="A97" s="33"/>
    </x:row>
    <x:row r="98" ht="13.899999618530273">
      <x:c r="A98" s="33"/>
    </x:row>
    <x:row r="99" ht="13.899999618530273">
      <x:c r="A99" s="33"/>
    </x:row>
    <x:row r="100" ht="13.899999618530273">
      <x:c r="A100" s="33"/>
    </x:row>
    <x:row r="101" ht="13.899999618530273">
      <x:c r="A101" s="33"/>
    </x:row>
    <x:row r="102" ht="13.899999618530273">
      <x:c r="A102" s="33"/>
    </x:row>
    <x:row r="103" ht="13.899999618530273">
      <x:c r="A103" s="33"/>
    </x:row>
    <x:row r="104" ht="13.899999618530273">
      <x:c r="A104" s="33"/>
    </x:row>
    <x:row r="105" ht="13.899999618530273">
      <x:c r="A105" s="33"/>
    </x:row>
    <x:row r="106" ht="13.899999618530273">
      <x:c r="A106" s="33"/>
    </x:row>
    <x:row r="107" ht="13.899999618530273">
      <x:c r="A107" s="33"/>
    </x:row>
    <x:row r="108" ht="13.899999618530273">
      <x:c r="A108" s="33"/>
    </x:row>
    <x:row r="109" ht="13.899999618530273">
      <x:c r="A109" s="33"/>
    </x:row>
    <x:row r="110" ht="13.899999618530273">
      <x:c r="A110" s="33"/>
    </x:row>
    <x:row r="111" ht="13.899999618530273">
      <x:c r="A111" s="33"/>
    </x:row>
    <x:row r="112" ht="13.899999618530273">
      <x:c r="A112" s="33"/>
    </x:row>
    <x:row r="113" ht="13.899999618530273">
      <x:c r="A113" s="33"/>
    </x:row>
    <x:row r="114" ht="13.899999618530273">
      <x:c r="A114" s="33"/>
    </x:row>
    <x:row r="115" ht="13.899999618530273">
      <x:c r="A115" s="33"/>
    </x:row>
    <x:row r="116" ht="13.899999618530273">
      <x:c r="A116" s="33"/>
    </x:row>
    <x:row r="117" ht="13.899999618530273">
      <x:c r="A117" s="33"/>
    </x:row>
    <x:row r="118" ht="13.899999618530273">
      <x:c r="A118" s="33"/>
    </x:row>
    <x:row r="119" ht="13.899999618530273">
      <x:c r="A119" s="33"/>
    </x:row>
    <x:row r="120" ht="13.899999618530273">
      <x:c r="A120" s="33"/>
    </x:row>
    <x:row r="121" ht="13.899999618530273">
      <x:c r="A121" s="33"/>
    </x:row>
    <x:row r="122" ht="13.899999618530273">
      <x:c r="A122" s="33"/>
    </x:row>
    <x:row r="123" ht="13.899999618530273">
      <x:c r="A123" s="33"/>
    </x:row>
    <x:row r="124" ht="13.899999618530273">
      <x:c r="A124" s="33"/>
    </x:row>
    <x:row r="125" ht="13.899999618530273">
      <x:c r="A125" s="33"/>
    </x:row>
    <x:row r="126" ht="13.899999618530273">
      <x:c r="A126" s="33"/>
    </x:row>
    <x:row r="127" ht="13.899999618530273">
      <x:c r="A127" s="33"/>
    </x:row>
    <x:row r="128" ht="13.899999618530273">
      <x:c r="A128" s="33"/>
    </x:row>
    <x:row r="129" ht="13.899999618530273">
      <x:c r="A129" s="33"/>
    </x:row>
    <x:row r="130" ht="13.899999618530273">
      <x:c r="A130" s="33"/>
    </x:row>
    <x:row r="131" ht="13.899999618530273">
      <x:c r="A131" s="33"/>
    </x:row>
    <x:row r="132" ht="13.899999618530273">
      <x:c r="A132" s="33"/>
    </x:row>
    <x:row r="133" ht="13.899999618530273">
      <x:c r="A133" s="33"/>
    </x:row>
    <x:row r="134" ht="13.899999618530273">
      <x:c r="A134" s="33"/>
    </x:row>
    <x:row r="135" ht="13.899999618530273">
      <x:c r="A135" s="33"/>
    </x:row>
    <x:row r="136" ht="13.899999618530273">
      <x:c r="A136" s="33"/>
    </x:row>
    <x:row r="137" ht="13.899999618530273">
      <x:c r="A137" s="33"/>
    </x:row>
    <x:row r="138" ht="13.899999618530273">
      <x:c r="A138" s="33"/>
    </x:row>
    <x:row r="139" ht="13.899999618530273">
      <x:c r="A139" s="33"/>
    </x:row>
    <x:row r="140" ht="13.899999618530273">
      <x:c r="A140" s="33"/>
    </x:row>
    <x:row r="141" ht="13.899999618530273">
      <x:c r="A141" s="33"/>
    </x:row>
    <x:row r="142" ht="13.899999618530273">
      <x:c r="A142" s="33"/>
    </x:row>
    <x:row r="143" ht="13.899999618530273">
      <x:c r="A143" s="33"/>
    </x:row>
    <x:row r="144" ht="13.899999618530273">
      <x:c r="A144" s="33"/>
    </x:row>
    <x:row r="145" ht="13.899999618530273">
      <x:c r="A145" s="33"/>
    </x:row>
    <x:row r="146" ht="13.899999618530273">
      <x:c r="A146" s="33"/>
    </x:row>
    <x:row r="147" ht="13.899999618530273">
      <x:c r="A147" s="33"/>
    </x:row>
    <x:row r="148" ht="13.899999618530273">
      <x:c r="A148" s="33"/>
    </x:row>
    <x:row r="149" ht="13.899999618530273">
      <x:c r="A149" s="33"/>
    </x:row>
    <x:row r="150" ht="13.899999618530273">
      <x:c r="A150" s="33"/>
    </x:row>
    <x:row r="151" ht="13.899999618530273">
      <x:c r="A151" s="33"/>
    </x:row>
    <x:row r="152" ht="13.899999618530273">
      <x:c r="A152" s="33"/>
    </x:row>
    <x:row r="153" ht="13.899999618530273">
      <x:c r="A153" s="33"/>
    </x:row>
    <x:row r="154" ht="13.899999618530273">
      <x:c r="A154" s="33"/>
    </x:row>
    <x:row r="155" ht="13.899999618530273">
      <x:c r="A155" s="33"/>
    </x:row>
    <x:row r="156" ht="13.899999618530273">
      <x:c r="A156" s="33"/>
    </x:row>
    <x:row r="157" ht="13.899999618530273">
      <x:c r="A157" s="33"/>
    </x:row>
    <x:row r="158" ht="13.899999618530273">
      <x:c r="A158" s="33"/>
    </x:row>
    <x:row r="159" ht="13.899999618530273">
      <x:c r="A159" s="33"/>
    </x:row>
    <x:row r="160" ht="13.899999618530273">
      <x:c r="A160" s="33"/>
    </x:row>
    <x:row r="161" ht="13.899999618530273">
      <x:c r="A161" s="33"/>
    </x:row>
    <x:row r="162" ht="13.899999618530273">
      <x:c r="A162" s="33"/>
    </x:row>
    <x:row r="163" ht="13.899999618530273">
      <x:c r="A163" s="33"/>
    </x:row>
    <x:row r="164" ht="13.899999618530273">
      <x:c r="A164" s="33"/>
    </x:row>
    <x:row r="165" ht="13.899999618530273">
      <x:c r="A165" s="33"/>
    </x:row>
    <x:row r="166" ht="13.899999618530273">
      <x:c r="A166" s="33"/>
    </x:row>
    <x:row r="167" ht="13.899999618530273">
      <x:c r="A167" s="33"/>
    </x:row>
    <x:row r="168" ht="13.899999618530273">
      <x:c r="A168" s="33"/>
    </x:row>
    <x:row r="169" ht="13.899999618530273">
      <x:c r="A169" s="33"/>
    </x:row>
    <x:row r="170" ht="13.899999618530273">
      <x:c r="A170" s="33"/>
    </x:row>
    <x:row r="171" ht="13.899999618530273">
      <x:c r="A171" s="33"/>
    </x:row>
    <x:row r="172" ht="13.899999618530273">
      <x:c r="A172" s="33"/>
    </x:row>
    <x:row r="173" ht="13.899999618530273">
      <x:c r="A173" s="33"/>
    </x:row>
    <x:row r="174" ht="13.899999618530273">
      <x:c r="A174" s="33"/>
    </x:row>
    <x:row r="175" ht="13.899999618530273">
      <x:c r="A175" s="33"/>
    </x:row>
    <x:row r="176" ht="13.899999618530273">
      <x:c r="A176" s="33"/>
    </x:row>
    <x:row r="177" ht="13.899999618530273">
      <x:c r="A177" s="33"/>
    </x:row>
    <x:row r="178" ht="13.899999618530273">
      <x:c r="A178" s="33"/>
    </x:row>
    <x:row r="179" ht="13.899999618530273">
      <x:c r="A179" s="33"/>
    </x:row>
    <x:row r="180" ht="13.899999618530273">
      <x:c r="A180" s="33"/>
    </x:row>
    <x:row r="181" ht="13.899999618530273">
      <x:c r="A181" s="33"/>
    </x:row>
    <x:row r="182" ht="13.899999618530273">
      <x:c r="A182" s="33"/>
    </x:row>
    <x:row r="183" ht="13.899999618530273">
      <x:c r="A183" s="33"/>
    </x:row>
    <x:row r="184" ht="13.899999618530273">
      <x:c r="A184" s="33"/>
    </x:row>
    <x:row r="185" ht="13.899999618530273">
      <x:c r="A185" s="33"/>
    </x:row>
    <x:row r="186" ht="13.899999618530273">
      <x:c r="A186" s="33"/>
    </x:row>
    <x:row r="187" ht="13.899999618530273">
      <x:c r="A187" s="33"/>
    </x:row>
    <x:row r="188" ht="13.899999618530273">
      <x:c r="A188" s="33"/>
    </x:row>
    <x:row r="189" ht="13.899999618530273">
      <x:c r="A189" s="33"/>
    </x:row>
    <x:row r="190" ht="13.899999618530273">
      <x:c r="A190" s="33"/>
    </x:row>
    <x:row r="191" ht="13.899999618530273">
      <x:c r="A191" s="33"/>
    </x:row>
    <x:row r="192" ht="13.899999618530273">
      <x:c r="A192" s="33"/>
    </x:row>
    <x:row r="193" ht="13.899999618530273">
      <x:c r="A193" s="33"/>
    </x:row>
    <x:row r="194" ht="13.899999618530273">
      <x:c r="A194" s="33"/>
    </x:row>
    <x:row r="195" ht="13.899999618530273">
      <x:c r="A195" s="33"/>
    </x:row>
    <x:row r="196" ht="13.899999618530273">
      <x:c r="A196" s="33"/>
    </x:row>
    <x:row r="197" ht="13.899999618530273">
      <x:c r="A197" s="33"/>
    </x:row>
    <x:row r="198" ht="13.899999618530273">
      <x:c r="A198" s="33"/>
    </x:row>
    <x:row r="199" ht="13.899999618530273">
      <x:c r="A199" s="33"/>
    </x:row>
    <x:row r="200" ht="13.899999618530273">
      <x:c r="A200" s="33"/>
    </x:row>
  </x:sheetData>
  <x:mergeCells>
    <x:mergeCell ref="A1:F1"/>
    <x:mergeCell ref="A16:F17"/>
  </x:mergeCells>
  <x:dataValidations count="2">
    <x:dataValidation sqref="B4:B5">
      <x:formula1>1</x:formula1>
      <x:formula2>60</x:formula2>
    </x:dataValidation>
    <x:dataValidation operator="greaterThanOrEqual" sqref="B6:B8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1" max="2" width="11" customWidth="1"/>
    <x:col min="3" max="3" width="14" customWidth="1"/>
    <x:col min="4" max="4" width="16" customWidth="1"/>
    <x:col min="5" max="6" width="11" customWidth="1"/>
    <x:col min="7" max="8" width="12" customWidth="1"/>
    <x:col min="9" max="9" width="11" customWidth="1"/>
    <x:col min="10" max="10" width="38" customWidth="1"/>
  </x:cols>
  <x:sheetData>
    <x:row r="1" ht="18.75">
      <x:c r="A1" s="53" t="s">
        <x:v>155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 ht="13.899999618530273">
      <x:c r="A2" s="33"/>
    </x:row>
    <x:row r="3" ht="14.649999618530273">
      <x:c r="A3" s="32" t="s">
        <x:v>121</x:v>
      </x:c>
      <x:c r="B3" s="1" t="s">
        <x:v>141</x:v>
      </x:c>
      <x:c r="C3" s="1" t="s">
        <x:v>156</x:v>
      </x:c>
      <x:c r="D3" s="1" t="s">
        <x:v>66</x:v>
      </x:c>
      <x:c r="E3" s="1" t="s">
        <x:v>157</x:v>
      </x:c>
      <x:c r="F3" s="1" t="s">
        <x:v>158</x:v>
      </x:c>
      <x:c r="G3" s="1" t="s">
        <x:v>159</x:v>
      </x:c>
      <x:c r="H3" s="1" t="s">
        <x:v>57</x:v>
      </x:c>
      <x:c r="I3" s="1" t="s">
        <x:v>160</x:v>
      </x:c>
      <x:c r="J3" s="1" t="s">
        <x:v>161</x:v>
      </x:c>
    </x:row>
    <x:row r="4" ht="27">
      <x:c r="A4" s="42">
        <x:v>1</x:v>
      </x:c>
      <x:c r="B4" s="15">
        <x:v>10</x:v>
      </x:c>
      <x:c r="C4" s="15">
        <x:v>2700</x:v>
      </x:c>
      <x:c r="D4" s="15">
        <x:v>2700</x:v>
      </x:c>
      <x:c r="E4" s="15">
        <x:v>5</x:v>
      </x:c>
      <x:c r="F4" s="15">
        <x:v>2</x:v>
      </x:c>
      <x:c r="G4" s="15">
        <x:v>0</x:v>
      </x:c>
      <x:c r="H4" s="15">
        <x:v>2</x:v>
      </x:c>
      <x:c r="I4" s="15">
        <x:v>20</x:v>
      </x:c>
      <x:c r="J4" s="18" t="s">
        <x:v>162</x:v>
      </x:c>
    </x:row>
    <x:row r="5" ht="27">
      <x:c r="A5" s="43">
        <x:v>10</x:v>
      </x:c>
      <x:c r="B5">
        <x:v>20</x:v>
      </x:c>
      <x:c r="C5">
        <x:v>9550</x:v>
      </x:c>
      <x:c r="D5">
        <x:v>9600</x:v>
      </x:c>
      <x:c r="E5">
        <x:v>19</x:v>
      </x:c>
      <x:c r="F5">
        <x:v>1</x:v>
      </x:c>
      <x:c r="G5">
        <x:v>50</x:v>
      </x:c>
      <x:c r="H5">
        <x:v>7</x:v>
      </x:c>
      <x:c r="I5">
        <x:v>70</x:v>
      </x:c>
      <x:c r="J5" s="19" t="s">
        <x:v>163</x:v>
      </x:c>
    </x:row>
    <x:row r="6" ht="13.899999618530273">
      <x:c r="A6" s="43">
        <x:v>1</x:v>
      </x:c>
      <x:c r="B6">
        <x:v>20</x:v>
      </x:c>
      <x:c r="C6">
        <x:v>12250</x:v>
      </x:c>
      <x:c r="D6">
        <x:v>12300</x:v>
      </x:c>
      <x:c r="E6">
        <x:v>24</x:v>
      </x:c>
      <x:c r="F6">
        <x:v>3</x:v>
      </x:c>
      <x:c r="G6">
        <x:v>50</x:v>
      </x:c>
      <x:c r="H6">
        <x:v>9</x:v>
      </x:c>
      <x:c r="I6">
        <x:v>90</x:v>
      </x:c>
      <x:c r="J6" s="19" t="s">
        <x:v>164</x:v>
      </x:c>
    </x:row>
    <x:row r="7" ht="13.899999618530273">
      <x:c r="A7" s="43">
        <x:v>20</x:v>
      </x:c>
      <x:c r="B7">
        <x:v>30</x:v>
      </x:c>
      <x:c r="C7">
        <x:v>19500</x:v>
      </x:c>
      <x:c r="D7">
        <x:v>19500</x:v>
      </x:c>
      <x:c r="E7">
        <x:v>39</x:v>
      </x:c>
      <x:c r="F7">
        <x:v>0</x:v>
      </x:c>
      <x:c r="G7">
        <x:v>0</x:v>
      </x:c>
      <x:c r="H7">
        <x:v>13</x:v>
      </x:c>
      <x:c r="I7">
        <x:v>130</x:v>
      </x:c>
      <x:c r="J7" s="19" t="s">
        <x:v>164</x:v>
      </x:c>
    </x:row>
    <x:row r="8" ht="13.899999618530273">
      <x:c r="A8" s="43">
        <x:v>30</x:v>
      </x:c>
      <x:c r="B8">
        <x:v>40</x:v>
      </x:c>
      <x:c r="C8">
        <x:v>40000</x:v>
      </x:c>
      <x:c r="D8">
        <x:v>40000</x:v>
      </x:c>
      <x:c r="E8">
        <x:v>80</x:v>
      </x:c>
      <x:c r="F8">
        <x:v>0</x:v>
      </x:c>
      <x:c r="G8">
        <x:v>0</x:v>
      </x:c>
      <x:c r="H8">
        <x:v>27</x:v>
      </x:c>
      <x:c r="I8">
        <x:v>270</x:v>
      </x:c>
      <x:c r="J8" s="19" t="s">
        <x:v>164</x:v>
      </x:c>
    </x:row>
    <x:row r="9" ht="13.899999618530273">
      <x:c r="A9" s="43">
        <x:v>40</x:v>
      </x:c>
      <x:c r="B9">
        <x:v>50</x:v>
      </x:c>
      <x:c r="C9">
        <x:v>67000</x:v>
      </x:c>
      <x:c r="D9">
        <x:v>67000</x:v>
      </x:c>
      <x:c r="E9">
        <x:v>134</x:v>
      </x:c>
      <x:c r="F9">
        <x:v>0</x:v>
      </x:c>
      <x:c r="G9">
        <x:v>0</x:v>
      </x:c>
      <x:c r="H9">
        <x:v>45</x:v>
      </x:c>
      <x:c r="I9">
        <x:v>450</x:v>
      </x:c>
      <x:c r="J9" s="19" t="s">
        <x:v>164</x:v>
      </x:c>
    </x:row>
    <x:row r="10" ht="27">
      <x:c r="A10" s="43">
        <x:v>50</x:v>
      </x:c>
      <x:c r="B10">
        <x:v>60</x:v>
      </x:c>
      <x:c r="C10">
        <x:v>118000</x:v>
      </x:c>
      <x:c r="D10">
        <x:v>118000</x:v>
      </x:c>
      <x:c r="E10">
        <x:v>236</x:v>
      </x:c>
      <x:c r="F10">
        <x:v>0</x:v>
      </x:c>
      <x:c r="G10">
        <x:v>0</x:v>
      </x:c>
      <x:c r="H10">
        <x:v>79</x:v>
      </x:c>
      <x:c r="I10">
        <x:v>790</x:v>
      </x:c>
      <x:c r="J10" s="19" t="s">
        <x:v>165</x:v>
      </x:c>
    </x:row>
    <x:row r="11" ht="13.899999618530273">
      <x:c r="A11" s="44">
        <x:v>1</x:v>
      </x:c>
      <x:c r="B11" s="16">
        <x:v>60</x:v>
      </x:c>
      <x:c r="C11" s="16">
        <x:v>256750</x:v>
      </x:c>
      <x:c r="D11" s="16">
        <x:v>256800</x:v>
      </x:c>
      <x:c r="E11" s="16">
        <x:v>513</x:v>
      </x:c>
      <x:c r="F11" s="16">
        <x:v>3</x:v>
      </x:c>
      <x:c r="G11" s="16">
        <x:v>50</x:v>
      </x:c>
      <x:c r="H11" s="16">
        <x:v>172</x:v>
      </x:c>
      <x:c r="I11" s="16">
        <x:v>1720</x:v>
      </x:c>
      <x:c r="J11" s="20" t="s">
        <x:v>166</x:v>
      </x:c>
    </x:row>
    <x:row r="12" ht="13.899999618530273">
      <x:c r="A12" s="33"/>
    </x:row>
    <x:row r="13" ht="13.899999618530273">
      <x:c r="A13" s="33"/>
    </x:row>
    <x:row r="14" ht="14.649999618530273">
      <x:c r="A14" s="49" t="s">
        <x:v>167</x:v>
      </x:c>
      <x:c r="B14" s="50"/>
      <x:c r="C14" s="50"/>
      <x:c r="D14" s="50"/>
      <x:c r="E14" s="50"/>
      <x:c r="F14" s="50"/>
      <x:c r="G14" s="50"/>
      <x:c r="H14" s="50"/>
      <x:c r="I14" s="50"/>
      <x:c r="J14" s="50"/>
    </x:row>
    <x:row r="15" ht="27">
      <x:c r="A15" s="33" t="s">
        <x:v>168</x:v>
      </x:c>
      <x:c r="B15" t="s">
        <x:v>169</x:v>
      </x:c>
      <x:c r="C15" t="s">
        <x:v>170</x:v>
      </x:c>
      <x:c r="D15" s="3" t="s">
        <x:v>171</x:v>
      </x:c>
    </x:row>
    <x:row r="16" ht="27">
      <x:c r="A16" s="33" t="s">
        <x:v>172</x:v>
      </x:c>
      <x:c r="B16" t="s">
        <x:v>173</x:v>
      </x:c>
      <x:c r="C16" t="s">
        <x:v>174</x:v>
      </x:c>
      <x:c r="D16" s="3" t="s">
        <x:v>175</x:v>
      </x:c>
    </x:row>
    <x:row r="17" ht="40.5">
      <x:c r="A17" s="45" t="s">
        <x:v>176</x:v>
      </x:c>
      <x:c r="B17" s="16" t="s">
        <x:v>177</x:v>
      </x:c>
      <x:c r="C17" s="16" t="s">
        <x:v>178</x:v>
      </x:c>
      <x:c r="D17" s="13" t="s">
        <x:v>179</x:v>
      </x:c>
    </x:row>
    <x:row r="18" ht="13.899999618530273">
      <x:c r="A18" s="33"/>
    </x:row>
    <x:row r="19" ht="13.899999618530273">
      <x:c r="A19" s="33"/>
    </x:row>
    <x:row r="20" ht="13.899999618530273">
      <x:c r="A20" s="33"/>
    </x:row>
    <x:row r="21" ht="13.899999618530273">
      <x:c r="A21" s="33"/>
    </x:row>
    <x:row r="22" ht="13.899999618530273">
      <x:c r="A22" s="33"/>
    </x:row>
    <x:row r="23" ht="13.899999618530273">
      <x:c r="A23" s="33"/>
    </x:row>
    <x:row r="24" ht="13.899999618530273">
      <x:c r="A24" s="33"/>
    </x:row>
    <x:row r="25" ht="13.899999618530273">
      <x:c r="A25" s="33"/>
    </x:row>
    <x:row r="26" ht="13.899999618530273">
      <x:c r="A26" s="33"/>
    </x:row>
    <x:row r="27" ht="13.899999618530273">
      <x:c r="A27" s="33"/>
    </x:row>
    <x:row r="28" ht="13.899999618530273">
      <x:c r="A28" s="33"/>
    </x:row>
    <x:row r="29" ht="13.899999618530273">
      <x:c r="A29" s="33"/>
    </x:row>
    <x:row r="30" ht="13.899999618530273">
      <x:c r="A30" s="33"/>
    </x:row>
    <x:row r="31" ht="13.899999618530273">
      <x:c r="A31" s="33"/>
    </x:row>
    <x:row r="32" ht="13.899999618530273">
      <x:c r="A32" s="33"/>
    </x:row>
    <x:row r="33" ht="13.899999618530273">
      <x:c r="A33" s="33"/>
    </x:row>
    <x:row r="34" ht="13.899999618530273">
      <x:c r="A34" s="33"/>
    </x:row>
    <x:row r="35" ht="13.899999618530273">
      <x:c r="A35" s="33"/>
    </x:row>
    <x:row r="36" ht="13.899999618530273">
      <x:c r="A36" s="33"/>
    </x:row>
    <x:row r="37" ht="13.899999618530273">
      <x:c r="A37" s="33"/>
    </x:row>
    <x:row r="38" ht="13.899999618530273">
      <x:c r="A38" s="33"/>
    </x:row>
    <x:row r="39" ht="13.899999618530273">
      <x:c r="A39" s="33"/>
    </x:row>
    <x:row r="40" ht="13.899999618530273">
      <x:c r="A40" s="33"/>
    </x:row>
    <x:row r="41" ht="13.899999618530273">
      <x:c r="A41" s="33"/>
    </x:row>
    <x:row r="42" ht="13.899999618530273">
      <x:c r="A42" s="33"/>
    </x:row>
    <x:row r="43" ht="13.899999618530273">
      <x:c r="A43" s="33"/>
    </x:row>
    <x:row r="44" ht="13.899999618530273">
      <x:c r="A44" s="33"/>
    </x:row>
    <x:row r="45" ht="13.899999618530273">
      <x:c r="A45" s="33"/>
    </x:row>
    <x:row r="46" ht="13.899999618530273">
      <x:c r="A46" s="33"/>
    </x:row>
    <x:row r="47" ht="13.899999618530273">
      <x:c r="A47" s="33"/>
    </x:row>
    <x:row r="48" ht="13.899999618530273">
      <x:c r="A48" s="33"/>
    </x:row>
    <x:row r="49" ht="13.899999618530273">
      <x:c r="A49" s="33"/>
    </x:row>
    <x:row r="50" ht="13.899999618530273">
      <x:c r="A50" s="33"/>
    </x:row>
    <x:row r="51" ht="13.899999618530273">
      <x:c r="A51" s="33"/>
    </x:row>
    <x:row r="52" ht="13.899999618530273">
      <x:c r="A52" s="33"/>
    </x:row>
    <x:row r="53" ht="13.899999618530273">
      <x:c r="A53" s="33"/>
    </x:row>
    <x:row r="54" ht="13.899999618530273">
      <x:c r="A54" s="33"/>
    </x:row>
    <x:row r="55" ht="13.899999618530273">
      <x:c r="A55" s="33"/>
    </x:row>
    <x:row r="56" ht="13.899999618530273">
      <x:c r="A56" s="33"/>
    </x:row>
    <x:row r="57" ht="13.899999618530273">
      <x:c r="A57" s="33"/>
    </x:row>
    <x:row r="58" ht="13.899999618530273">
      <x:c r="A58" s="33"/>
    </x:row>
    <x:row r="59" ht="13.899999618530273">
      <x:c r="A59" s="33"/>
    </x:row>
    <x:row r="60" ht="13.899999618530273">
      <x:c r="A60" s="33"/>
    </x:row>
    <x:row r="61" ht="13.899999618530273">
      <x:c r="A61" s="33"/>
    </x:row>
    <x:row r="62" ht="13.899999618530273">
      <x:c r="A62" s="33"/>
    </x:row>
    <x:row r="63" ht="13.899999618530273">
      <x:c r="A63" s="33"/>
    </x:row>
    <x:row r="64" ht="13.899999618530273">
      <x:c r="A64" s="33"/>
    </x:row>
    <x:row r="65" ht="13.899999618530273">
      <x:c r="A65" s="33"/>
    </x:row>
    <x:row r="66" ht="13.899999618530273">
      <x:c r="A66" s="33"/>
    </x:row>
    <x:row r="67" ht="13.899999618530273">
      <x:c r="A67" s="33"/>
    </x:row>
    <x:row r="68" ht="13.899999618530273">
      <x:c r="A68" s="33"/>
    </x:row>
    <x:row r="69" ht="13.899999618530273">
      <x:c r="A69" s="33"/>
    </x:row>
    <x:row r="70" ht="13.899999618530273">
      <x:c r="A70" s="33"/>
    </x:row>
    <x:row r="71" ht="13.899999618530273">
      <x:c r="A71" s="33"/>
    </x:row>
    <x:row r="72" ht="13.899999618530273">
      <x:c r="A72" s="33"/>
    </x:row>
    <x:row r="73" ht="13.899999618530273">
      <x:c r="A73" s="33"/>
    </x:row>
    <x:row r="74" ht="13.899999618530273">
      <x:c r="A74" s="33"/>
    </x:row>
    <x:row r="75" ht="13.899999618530273">
      <x:c r="A75" s="33"/>
    </x:row>
    <x:row r="76" ht="13.899999618530273">
      <x:c r="A76" s="33"/>
    </x:row>
    <x:row r="77" ht="13.899999618530273">
      <x:c r="A77" s="33"/>
    </x:row>
    <x:row r="78" ht="13.899999618530273">
      <x:c r="A78" s="33"/>
    </x:row>
    <x:row r="79" ht="13.899999618530273">
      <x:c r="A79" s="33"/>
    </x:row>
    <x:row r="80" ht="13.899999618530273">
      <x:c r="A80" s="33"/>
    </x:row>
    <x:row r="81" ht="13.899999618530273">
      <x:c r="A81" s="33"/>
    </x:row>
    <x:row r="82" ht="13.899999618530273">
      <x:c r="A82" s="33"/>
    </x:row>
    <x:row r="83" ht="13.899999618530273">
      <x:c r="A83" s="33"/>
    </x:row>
    <x:row r="84" ht="13.899999618530273">
      <x:c r="A84" s="33"/>
    </x:row>
    <x:row r="85" ht="13.899999618530273">
      <x:c r="A85" s="33"/>
    </x:row>
    <x:row r="86" ht="13.899999618530273">
      <x:c r="A86" s="33"/>
    </x:row>
    <x:row r="87" ht="13.899999618530273">
      <x:c r="A87" s="33"/>
    </x:row>
    <x:row r="88" ht="13.899999618530273">
      <x:c r="A88" s="33"/>
    </x:row>
    <x:row r="89" ht="13.899999618530273">
      <x:c r="A89" s="33"/>
    </x:row>
    <x:row r="90" ht="13.899999618530273">
      <x:c r="A90" s="33"/>
    </x:row>
    <x:row r="91" ht="13.899999618530273">
      <x:c r="A91" s="33"/>
    </x:row>
    <x:row r="92" ht="13.899999618530273">
      <x:c r="A92" s="33"/>
    </x:row>
    <x:row r="93" ht="13.899999618530273">
      <x:c r="A93" s="33"/>
    </x:row>
    <x:row r="94" ht="13.899999618530273">
      <x:c r="A94" s="33"/>
    </x:row>
    <x:row r="95" ht="13.899999618530273">
      <x:c r="A95" s="33"/>
    </x:row>
    <x:row r="96" ht="13.899999618530273">
      <x:c r="A96" s="33"/>
    </x:row>
    <x:row r="97" ht="13.899999618530273">
      <x:c r="A97" s="33"/>
    </x:row>
    <x:row r="98" ht="13.899999618530273">
      <x:c r="A98" s="33"/>
    </x:row>
    <x:row r="99" ht="13.899999618530273">
      <x:c r="A99" s="33"/>
    </x:row>
    <x:row r="100" ht="13.899999618530273">
      <x:c r="A100" s="33"/>
    </x:row>
    <x:row r="101" ht="13.899999618530273">
      <x:c r="A101" s="33"/>
    </x:row>
    <x:row r="102" ht="13.899999618530273">
      <x:c r="A102" s="33"/>
    </x:row>
    <x:row r="103" ht="13.899999618530273">
      <x:c r="A103" s="33"/>
    </x:row>
    <x:row r="104" ht="13.899999618530273">
      <x:c r="A104" s="33"/>
    </x:row>
    <x:row r="105" ht="13.899999618530273">
      <x:c r="A105" s="33"/>
    </x:row>
    <x:row r="106" ht="13.899999618530273">
      <x:c r="A106" s="33"/>
    </x:row>
    <x:row r="107" ht="13.899999618530273">
      <x:c r="A107" s="33"/>
    </x:row>
    <x:row r="108" ht="13.899999618530273">
      <x:c r="A108" s="33"/>
    </x:row>
    <x:row r="109" ht="13.899999618530273">
      <x:c r="A109" s="33"/>
    </x:row>
    <x:row r="110" ht="13.899999618530273">
      <x:c r="A110" s="33"/>
    </x:row>
    <x:row r="111" ht="13.899999618530273">
      <x:c r="A111" s="33"/>
    </x:row>
    <x:row r="112" ht="13.899999618530273">
      <x:c r="A112" s="33"/>
    </x:row>
    <x:row r="113" ht="13.899999618530273">
      <x:c r="A113" s="33"/>
    </x:row>
    <x:row r="114" ht="13.899999618530273">
      <x:c r="A114" s="33"/>
    </x:row>
    <x:row r="115" ht="13.899999618530273">
      <x:c r="A115" s="33"/>
    </x:row>
    <x:row r="116" ht="13.899999618530273">
      <x:c r="A116" s="33"/>
    </x:row>
    <x:row r="117" ht="13.899999618530273">
      <x:c r="A117" s="33"/>
    </x:row>
    <x:row r="118" ht="13.899999618530273">
      <x:c r="A118" s="33"/>
    </x:row>
    <x:row r="119" ht="13.899999618530273">
      <x:c r="A119" s="33"/>
    </x:row>
    <x:row r="120" ht="13.899999618530273">
      <x:c r="A120" s="33"/>
    </x:row>
    <x:row r="121" ht="13.899999618530273">
      <x:c r="A121" s="33"/>
    </x:row>
    <x:row r="122" ht="13.899999618530273">
      <x:c r="A122" s="33"/>
    </x:row>
    <x:row r="123" ht="13.899999618530273">
      <x:c r="A123" s="33"/>
    </x:row>
    <x:row r="124" ht="13.899999618530273">
      <x:c r="A124" s="33"/>
    </x:row>
    <x:row r="125" ht="13.899999618530273">
      <x:c r="A125" s="33"/>
    </x:row>
    <x:row r="126" ht="13.899999618530273">
      <x:c r="A126" s="33"/>
    </x:row>
    <x:row r="127" ht="13.899999618530273">
      <x:c r="A127" s="33"/>
    </x:row>
    <x:row r="128" ht="13.899999618530273">
      <x:c r="A128" s="33"/>
    </x:row>
    <x:row r="129" ht="13.899999618530273">
      <x:c r="A129" s="33"/>
    </x:row>
    <x:row r="130" ht="13.899999618530273">
      <x:c r="A130" s="33"/>
    </x:row>
    <x:row r="131" ht="13.899999618530273">
      <x:c r="A131" s="33"/>
    </x:row>
    <x:row r="132" ht="13.899999618530273">
      <x:c r="A132" s="33"/>
    </x:row>
    <x:row r="133" ht="13.899999618530273">
      <x:c r="A133" s="33"/>
    </x:row>
    <x:row r="134" ht="13.899999618530273">
      <x:c r="A134" s="33"/>
    </x:row>
    <x:row r="135" ht="13.899999618530273">
      <x:c r="A135" s="33"/>
    </x:row>
    <x:row r="136" ht="13.899999618530273">
      <x:c r="A136" s="33"/>
    </x:row>
    <x:row r="137" ht="13.899999618530273">
      <x:c r="A137" s="33"/>
    </x:row>
    <x:row r="138" ht="13.899999618530273">
      <x:c r="A138" s="33"/>
    </x:row>
    <x:row r="139" ht="13.899999618530273">
      <x:c r="A139" s="33"/>
    </x:row>
    <x:row r="140" ht="13.899999618530273">
      <x:c r="A140" s="33"/>
    </x:row>
    <x:row r="141" ht="13.899999618530273">
      <x:c r="A141" s="33"/>
    </x:row>
    <x:row r="142" ht="13.899999618530273">
      <x:c r="A142" s="33"/>
    </x:row>
    <x:row r="143" ht="13.899999618530273">
      <x:c r="A143" s="33"/>
    </x:row>
    <x:row r="144" ht="13.899999618530273">
      <x:c r="A144" s="33"/>
    </x:row>
    <x:row r="145" ht="13.899999618530273">
      <x:c r="A145" s="33"/>
    </x:row>
    <x:row r="146" ht="13.899999618530273">
      <x:c r="A146" s="33"/>
    </x:row>
    <x:row r="147" ht="13.899999618530273">
      <x:c r="A147" s="33"/>
    </x:row>
    <x:row r="148" ht="13.899999618530273">
      <x:c r="A148" s="33"/>
    </x:row>
    <x:row r="149" ht="13.899999618530273">
      <x:c r="A149" s="33"/>
    </x:row>
    <x:row r="150" ht="13.899999618530273">
      <x:c r="A150" s="33"/>
    </x:row>
    <x:row r="151" ht="13.899999618530273">
      <x:c r="A151" s="33"/>
    </x:row>
    <x:row r="152" ht="13.899999618530273">
      <x:c r="A152" s="33"/>
    </x:row>
    <x:row r="153" ht="13.899999618530273">
      <x:c r="A153" s="33"/>
    </x:row>
    <x:row r="154" ht="13.899999618530273">
      <x:c r="A154" s="33"/>
    </x:row>
    <x:row r="155" ht="13.899999618530273">
      <x:c r="A155" s="33"/>
    </x:row>
    <x:row r="156" ht="13.899999618530273">
      <x:c r="A156" s="33"/>
    </x:row>
    <x:row r="157" ht="13.899999618530273">
      <x:c r="A157" s="33"/>
    </x:row>
    <x:row r="158" ht="13.899999618530273">
      <x:c r="A158" s="33"/>
    </x:row>
    <x:row r="159" ht="13.899999618530273">
      <x:c r="A159" s="33"/>
    </x:row>
    <x:row r="160" ht="13.899999618530273">
      <x:c r="A160" s="33"/>
    </x:row>
    <x:row r="161" ht="13.899999618530273">
      <x:c r="A161" s="33"/>
    </x:row>
    <x:row r="162" ht="13.899999618530273">
      <x:c r="A162" s="33"/>
    </x:row>
    <x:row r="163" ht="13.899999618530273">
      <x:c r="A163" s="33"/>
    </x:row>
    <x:row r="164" ht="13.899999618530273">
      <x:c r="A164" s="33"/>
    </x:row>
    <x:row r="165" ht="13.899999618530273">
      <x:c r="A165" s="33"/>
    </x:row>
    <x:row r="166" ht="13.899999618530273">
      <x:c r="A166" s="33"/>
    </x:row>
    <x:row r="167" ht="13.899999618530273">
      <x:c r="A167" s="33"/>
    </x:row>
    <x:row r="168" ht="13.899999618530273">
      <x:c r="A168" s="33"/>
    </x:row>
    <x:row r="169" ht="13.899999618530273">
      <x:c r="A169" s="33"/>
    </x:row>
    <x:row r="170" ht="13.899999618530273">
      <x:c r="A170" s="33"/>
    </x:row>
    <x:row r="171" ht="13.899999618530273">
      <x:c r="A171" s="33"/>
    </x:row>
    <x:row r="172" ht="13.899999618530273">
      <x:c r="A172" s="33"/>
    </x:row>
    <x:row r="173" ht="13.899999618530273">
      <x:c r="A173" s="33"/>
    </x:row>
    <x:row r="174" ht="13.899999618530273">
      <x:c r="A174" s="33"/>
    </x:row>
    <x:row r="175" ht="13.899999618530273">
      <x:c r="A175" s="33"/>
    </x:row>
    <x:row r="176" ht="13.899999618530273">
      <x:c r="A176" s="33"/>
    </x:row>
    <x:row r="177" ht="13.899999618530273">
      <x:c r="A177" s="33"/>
    </x:row>
    <x:row r="178" ht="13.899999618530273">
      <x:c r="A178" s="33"/>
    </x:row>
    <x:row r="179" ht="13.899999618530273">
      <x:c r="A179" s="33"/>
    </x:row>
    <x:row r="180" ht="13.899999618530273">
      <x:c r="A180" s="33"/>
    </x:row>
    <x:row r="181" ht="13.899999618530273">
      <x:c r="A181" s="33"/>
    </x:row>
    <x:row r="182" ht="13.899999618530273">
      <x:c r="A182" s="33"/>
    </x:row>
    <x:row r="183" ht="13.899999618530273">
      <x:c r="A183" s="33"/>
    </x:row>
    <x:row r="184" ht="13.899999618530273">
      <x:c r="A184" s="33"/>
    </x:row>
    <x:row r="185" ht="13.899999618530273">
      <x:c r="A185" s="33"/>
    </x:row>
    <x:row r="186" ht="13.899999618530273">
      <x:c r="A186" s="33"/>
    </x:row>
    <x:row r="187" ht="13.899999618530273">
      <x:c r="A187" s="33"/>
    </x:row>
    <x:row r="188" ht="13.899999618530273">
      <x:c r="A188" s="33"/>
    </x:row>
    <x:row r="189" ht="13.899999618530273">
      <x:c r="A189" s="33"/>
    </x:row>
    <x:row r="190" ht="13.899999618530273">
      <x:c r="A190" s="33"/>
    </x:row>
    <x:row r="191" ht="13.899999618530273">
      <x:c r="A191" s="33"/>
    </x:row>
    <x:row r="192" ht="13.899999618530273">
      <x:c r="A192" s="33"/>
    </x:row>
    <x:row r="193" ht="13.899999618530273">
      <x:c r="A193" s="33"/>
    </x:row>
    <x:row r="194" ht="13.899999618530273">
      <x:c r="A194" s="33"/>
    </x:row>
    <x:row r="195" ht="13.899999618530273">
      <x:c r="A195" s="33"/>
    </x:row>
    <x:row r="196" ht="13.899999618530273">
      <x:c r="A196" s="33"/>
    </x:row>
    <x:row r="197" ht="13.899999618530273">
      <x:c r="A197" s="33"/>
    </x:row>
    <x:row r="198" ht="13.899999618530273">
      <x:c r="A198" s="33"/>
    </x:row>
    <x:row r="199" ht="13.899999618530273">
      <x:c r="A199" s="33"/>
    </x:row>
    <x:row r="200" ht="13.899999618530273">
      <x:c r="A200" s="33"/>
    </x:row>
  </x:sheetData>
  <x:mergeCells>
    <x:mergeCell ref="A1:J1"/>
    <x:mergeCell ref="A14:J14"/>
  </x:mergeCells>
  <x:pageMargins left="0.7" right="0.7" top="0.75" bottom="0.75" header="0.3" footer="0.3"/>
  <x:tableParts count="1">
    <x:tablePart xmlns:r="http://schemas.openxmlformats.org/officeDocument/2006/relationships" r:id="R02480a01ddd14979"/>
  </x:tableParts>
</x:worksheet>
</file>

<file path=xl/worksheets/sheet6.xml><?xml version="1.0" encoding="utf-8"?>
<x:worksheet xmlns:x="http://schemas.openxmlformats.org/spreadsheetml/2006/main">
  <x:sheetFormatPr defaultRowHeight="13.5"/>
  <x:cols>
    <x:col min="1" max="1" width="32" customWidth="1"/>
    <x:col min="2" max="2" width="18" customWidth="1"/>
    <x:col min="3" max="3" width="14" customWidth="1"/>
    <x:col min="4" max="4" width="32" customWidth="1"/>
    <x:col min="5" max="5" width="14" customWidth="1"/>
  </x:cols>
  <x:sheetData>
    <x:row r="1" ht="18.75">
      <x:c r="A1" s="47" t="s">
        <x:v>180</x:v>
      </x:c>
      <x:c r="B1" s="52"/>
      <x:c r="C1" s="52"/>
      <x:c r="D1" s="52"/>
      <x:c r="E1" s="52"/>
    </x:row>
    <x:row r="2" ht="13.899999618530273">
      <x:c r="A2" s="33"/>
    </x:row>
    <x:row r="3" ht="14.649999618530273">
      <x:c r="A3" s="39" t="s">
        <x:v>181</x:v>
      </x:c>
      <x:c r="B3" s="14" t="s">
        <x:v>182</x:v>
      </x:c>
      <x:c r="C3" s="14" t="s">
        <x:v>183</x:v>
      </x:c>
      <x:c r="D3" s="14" t="s">
        <x:v>184</x:v>
      </x:c>
      <x:c r="E3" s="14" t="s">
        <x:v>7</x:v>
      </x:c>
    </x:row>
    <x:row r="4" ht="13.899999618530273">
      <x:c r="A4" s="33" t="s">
        <x:v>185</x:v>
      </x:c>
      <x:c r="B4">
        <x:v>60</x:v>
      </x:c>
      <x:c r="C4" t="s">
        <x:v>186</x:v>
      </x:c>
      <x:c r="D4" s="3" t="s">
        <x:v>187</x:v>
      </x:c>
      <x:c r="E4" t="s">
        <x:v>188</x:v>
      </x:c>
    </x:row>
    <x:row r="5" ht="13.899999618530273">
      <x:c r="A5" s="33" t="s">
        <x:v>189</x:v>
      </x:c>
      <x:c r="B5">
        <x:v>100</x:v>
      </x:c>
      <x:c r="C5" t="s">
        <x:v>186</x:v>
      </x:c>
      <x:c r="D5" s="3" t="s">
        <x:v>9</x:v>
      </x:c>
      <x:c r="E5" t="s">
        <x:v>188</x:v>
      </x:c>
    </x:row>
    <x:row r="6" ht="13.899999618530273">
      <x:c r="A6" s="33" t="s">
        <x:v>190</x:v>
      </x:c>
      <x:c r="B6">
        <x:v>500</x:v>
      </x:c>
      <x:c r="C6" t="s">
        <x:v>186</x:v>
      </x:c>
      <x:c r="D6" s="3" t="s">
        <x:v>14</x:v>
      </x:c>
      <x:c r="E6" t="s">
        <x:v>188</x:v>
      </x:c>
    </x:row>
    <x:row r="7" ht="13.899999618530273">
      <x:c r="A7" s="33" t="s">
        <x:v>191</x:v>
      </x:c>
      <x:c r="B7">
        <x:v>1000</x:v>
      </x:c>
      <x:c r="C7" t="s">
        <x:v>186</x:v>
      </x:c>
      <x:c r="D7" s="3" t="s">
        <x:v>192</x:v>
      </x:c>
      <x:c r="E7" t="s">
        <x:v>188</x:v>
      </x:c>
    </x:row>
    <x:row r="8" ht="13.899999618530273">
      <x:c r="A8" s="33" t="s">
        <x:v>193</x:v>
      </x:c>
      <x:c r="B8" t="s">
        <x:v>194</x:v>
      </x:c>
      <x:c r="C8" t="s">
        <x:v>195</x:v>
      </x:c>
      <x:c r="D8" s="3" t="s">
        <x:v>196</x:v>
      </x:c>
      <x:c r="E8" t="s">
        <x:v>188</x:v>
      </x:c>
    </x:row>
    <x:row r="9" ht="13.899999618530273">
      <x:c r="A9" s="33" t="s">
        <x:v>197</x:v>
      </x:c>
      <x:c r="B9" s="31" t="b">
        <x:v>1</x:v>
      </x:c>
      <x:c r="C9" t="s">
        <x:v>198</x:v>
      </x:c>
      <x:c r="D9" s="3" t="s">
        <x:v>199</x:v>
      </x:c>
      <x:c r="E9" t="s">
        <x:v>188</x:v>
      </x:c>
    </x:row>
    <x:row r="10" ht="13.899999618530273">
      <x:c r="A10" s="33" t="s">
        <x:v>200</x:v>
      </x:c>
      <x:c r="B10">
        <x:v>0</x:v>
      </x:c>
      <x:c r="C10" t="s">
        <x:v>186</x:v>
      </x:c>
      <x:c r="D10" s="3" t="s">
        <x:v>201</x:v>
      </x:c>
      <x:c r="E10" t="s">
        <x:v>188</x:v>
      </x:c>
    </x:row>
    <x:row r="11" ht="13.899999618530273">
      <x:c r="A11" s="33" t="s">
        <x:v>202</x:v>
      </x:c>
      <x:c r="B11" s="31" t="b">
        <x:v>1</x:v>
      </x:c>
      <x:c r="C11" t="s">
        <x:v>198</x:v>
      </x:c>
      <x:c r="D11" s="3" t="str">
        <x:v>养成计划资源计算纳入；不进入经验量公式</x:v>
      </x:c>
      <x:c r="E11" t="s">
        <x:v>188</x:v>
      </x:c>
    </x:row>
    <x:row r="12" ht="13.899999618530273">
      <x:c r="A12" s="33" t="s">
        <x:v>203</x:v>
      </x:c>
      <x:c r="B12">
        <x:v>3</x:v>
      </x:c>
      <x:c r="C12" t="s">
        <x:v>186</x:v>
      </x:c>
      <x:c r="D12" s="3" t="s">
        <x:v>204</x:v>
      </x:c>
      <x:c r="E12" t="s">
        <x:v>188</x:v>
      </x:c>
    </x:row>
    <x:row r="13" ht="13.899999618530273">
      <x:c r="A13" s="33" t="s">
        <x:v>205</x:v>
      </x:c>
      <x:c r="B13">
        <x:v>1500</x:v>
      </x:c>
      <x:c r="C13" t="s">
        <x:v>186</x:v>
      </x:c>
      <x:c r="D13" s="3" t="s">
        <x:v>206</x:v>
      </x:c>
      <x:c r="E13" t="s">
        <x:v>207</x:v>
      </x:c>
    </x:row>
    <x:row r="14" ht="13.899999618530273">
      <x:c r="A14" s="33" t="s">
        <x:v>208</x:v>
      </x:c>
      <x:c r="B14">
        <x:v>10</x:v>
      </x:c>
      <x:c r="C14" t="s">
        <x:v>186</x:v>
      </x:c>
      <x:c r="D14" s="3" t="s">
        <x:v>209</x:v>
      </x:c>
      <x:c r="E14" t="s">
        <x:v>188</x:v>
      </x:c>
    </x:row>
    <x:row r="15" ht="13.899999618530273">
      <x:c r="A15" s="33" t="s">
        <x:v>210</x:v>
      </x:c>
      <x:c r="B15">
        <x:v>100</x:v>
      </x:c>
      <x:c r="C15" t="s">
        <x:v>186</x:v>
      </x:c>
      <x:c r="D15" s="3" t="s">
        <x:v>211</x:v>
      </x:c>
      <x:c r="E15" t="s">
        <x:v>207</x:v>
      </x:c>
    </x:row>
    <x:row r="16" ht="13.899999618530273">
      <x:c r="A16" s="45" t="s">
        <x:v>212</x:v>
      </x:c>
      <x:c r="B16" s="16" t="s">
        <x:v>213</x:v>
      </x:c>
      <x:c r="C16" s="16" t="s">
        <x:v>214</x:v>
      </x:c>
      <x:c r="D16" s="13" t="s">
        <x:v>215</x:v>
      </x:c>
      <x:c r="E16" s="16" t="s">
        <x:v>188</x:v>
      </x:c>
    </x:row>
    <x:row r="17" ht="13.899999618530273">
      <x:c r="A17" s="125" t="str">
        <x:v>breakthrough_material_table</x:v>
      </x:c>
      <x:c r="B17" s="126" t="str">
        <x:v>突破材料规则!A4:D8</x:v>
      </x:c>
      <x:c r="C17" s="126" t="str">
        <x:v>range</x:v>
      </x:c>
      <x:c r="D17" s="126" t="str">
        <x:v>等级突破瓶子消耗表</x:v>
      </x:c>
      <x:c r="E17" s="126" t="str">
        <x:v>confirmed</x:v>
      </x:c>
    </x:row>
    <x:row r="18" ht="13.899999618530273">
      <x:c r="A18" s="125" t="str">
        <x:v>breakthrough_default_rule</x:v>
      </x:c>
      <x:c r="B18" s="126" t="str">
        <x:v>current&lt;=node&lt;target</x:v>
      </x:c>
      <x:c r="C18" s="126" t="str">
        <x:v>str</x:v>
      </x:c>
      <x:c r="D18" s="126" t="str">
        <x:v>默认计入起点节点、排除目标节点</x:v>
      </x:c>
      <x:c r="E18" s="126" t="str">
        <x:v>confirmed</x:v>
      </x:c>
    </x:row>
    <x:row r="19" ht="13.899999618530273">
      <x:c r="A19" s="125" t="str">
        <x:v>breakthrough_override_scope</x:v>
      </x:c>
      <x:c r="B19" s="126" t="str">
        <x:v>session_only</x:v>
      </x:c>
      <x:c r="C19" s="126" t="str">
        <x:v>str</x:v>
      </x:c>
      <x:c r="D19" s="126" t="str">
        <x:v>边界纠正仅作用于本次材料计算/扣除</x:v>
      </x:c>
      <x:c r="E19" s="126" t="str">
        <x:v>confirmed</x:v>
      </x:c>
    </x:row>
    <x:row r="20" ht="13.899999618530273">
      <x:c r="A20" s="125" t="str">
        <x:v>breakthrough_current_node_override</x:v>
      </x:c>
      <x:c r="B20" s="126" t="str">
        <x:v>exclude_if_already_broken</x:v>
      </x:c>
      <x:c r="C20" s="126" t="str">
        <x:v>str</x:v>
      </x:c>
      <x:c r="D20" s="126" t="str">
        <x:v>当前等级恰为节点时可排除已完成突破</x:v>
      </x:c>
      <x:c r="E20" s="126" t="str">
        <x:v>confirmed</x:v>
      </x:c>
    </x:row>
    <x:row r="21" ht="13.899999618530273">
      <x:c r="A21" s="125" t="str">
        <x:v>breakthrough_target_node_override</x:v>
      </x:c>
      <x:c r="B21" s="126" t="str">
        <x:v>include_if_break_target</x:v>
      </x:c>
      <x:c r="C21" s="126" t="str">
        <x:v>str</x:v>
      </x:c>
      <x:c r="D21" s="126" t="str">
        <x:v>目标等级恰为节点时可选择一并突破并计料</x:v>
      </x:c>
      <x:c r="E21" s="126" t="str">
        <x:v>confirmed</x:v>
      </x:c>
    </x:row>
    <x:row r="22" ht="13.899999618530273">
      <x:c r="A22" s="33"/>
    </x:row>
    <x:row r="23" ht="13.899999618530273">
      <x:c r="A23" s="33"/>
    </x:row>
    <x:row r="24" ht="13.899999618530273">
      <x:c r="A24" s="33"/>
    </x:row>
    <x:row r="25" ht="13.899999618530273">
      <x:c r="A25" s="33"/>
    </x:row>
    <x:row r="26" ht="13.899999618530273">
      <x:c r="A26" s="33"/>
    </x:row>
    <x:row r="27" ht="13.899999618530273">
      <x:c r="A27" s="33"/>
    </x:row>
    <x:row r="28" ht="13.899999618530273">
      <x:c r="A28" s="33"/>
    </x:row>
    <x:row r="29" ht="13.899999618530273">
      <x:c r="A29" s="33"/>
    </x:row>
    <x:row r="30" ht="13.899999618530273">
      <x:c r="A30" s="33"/>
    </x:row>
    <x:row r="31" ht="13.899999618530273">
      <x:c r="A31" s="33"/>
    </x:row>
    <x:row r="32" ht="13.899999618530273">
      <x:c r="A32" s="33"/>
    </x:row>
    <x:row r="33" ht="13.899999618530273">
      <x:c r="A33" s="33"/>
    </x:row>
    <x:row r="34" ht="13.899999618530273">
      <x:c r="A34" s="33"/>
    </x:row>
    <x:row r="35" ht="13.899999618530273">
      <x:c r="A35" s="33"/>
    </x:row>
    <x:row r="36" ht="13.899999618530273">
      <x:c r="A36" s="33"/>
    </x:row>
    <x:row r="37" ht="13.899999618530273">
      <x:c r="A37" s="33"/>
    </x:row>
    <x:row r="38" ht="13.899999618530273">
      <x:c r="A38" s="33"/>
    </x:row>
    <x:row r="39" ht="13.899999618530273">
      <x:c r="A39" s="33"/>
    </x:row>
    <x:row r="40" ht="13.899999618530273">
      <x:c r="A40" s="33"/>
    </x:row>
    <x:row r="41" ht="13.899999618530273">
      <x:c r="A41" s="33"/>
    </x:row>
    <x:row r="42" ht="13.899999618530273">
      <x:c r="A42" s="33"/>
    </x:row>
    <x:row r="43" ht="13.899999618530273">
      <x:c r="A43" s="33"/>
    </x:row>
    <x:row r="44" ht="13.899999618530273">
      <x:c r="A44" s="33"/>
    </x:row>
    <x:row r="45" ht="13.899999618530273">
      <x:c r="A45" s="33"/>
    </x:row>
    <x:row r="46" ht="13.899999618530273">
      <x:c r="A46" s="33"/>
    </x:row>
    <x:row r="47" ht="13.899999618530273">
      <x:c r="A47" s="33"/>
    </x:row>
    <x:row r="48" ht="13.899999618530273">
      <x:c r="A48" s="33"/>
    </x:row>
    <x:row r="49" ht="13.899999618530273">
      <x:c r="A49" s="33"/>
    </x:row>
    <x:row r="50" ht="13.899999618530273">
      <x:c r="A50" s="33"/>
    </x:row>
    <x:row r="51" ht="13.899999618530273">
      <x:c r="A51" s="33"/>
    </x:row>
    <x:row r="52" ht="13.899999618530273">
      <x:c r="A52" s="33"/>
    </x:row>
    <x:row r="53" ht="13.899999618530273">
      <x:c r="A53" s="33"/>
    </x:row>
    <x:row r="54" ht="13.899999618530273">
      <x:c r="A54" s="33"/>
    </x:row>
    <x:row r="55" ht="13.899999618530273">
      <x:c r="A55" s="33"/>
    </x:row>
    <x:row r="56" ht="13.899999618530273">
      <x:c r="A56" s="33"/>
    </x:row>
    <x:row r="57" ht="13.899999618530273">
      <x:c r="A57" s="33"/>
    </x:row>
    <x:row r="58" ht="13.899999618530273">
      <x:c r="A58" s="33"/>
    </x:row>
    <x:row r="59" ht="13.899999618530273">
      <x:c r="A59" s="33"/>
    </x:row>
    <x:row r="60" ht="13.899999618530273">
      <x:c r="A60" s="33"/>
    </x:row>
    <x:row r="61" ht="13.899999618530273">
      <x:c r="A61" s="33"/>
    </x:row>
    <x:row r="62" ht="13.899999618530273">
      <x:c r="A62" s="33"/>
    </x:row>
    <x:row r="63" ht="13.899999618530273">
      <x:c r="A63" s="33"/>
    </x:row>
    <x:row r="64" ht="13.899999618530273">
      <x:c r="A64" s="33"/>
    </x:row>
    <x:row r="65" ht="13.899999618530273">
      <x:c r="A65" s="33"/>
    </x:row>
    <x:row r="66" ht="13.899999618530273">
      <x:c r="A66" s="33"/>
    </x:row>
    <x:row r="67" ht="13.899999618530273">
      <x:c r="A67" s="33"/>
    </x:row>
    <x:row r="68" ht="13.899999618530273">
      <x:c r="A68" s="33"/>
    </x:row>
    <x:row r="69" ht="13.899999618530273">
      <x:c r="A69" s="33"/>
    </x:row>
    <x:row r="70" ht="13.899999618530273">
      <x:c r="A70" s="33"/>
    </x:row>
    <x:row r="71" ht="13.899999618530273">
      <x:c r="A71" s="33"/>
    </x:row>
    <x:row r="72" ht="13.899999618530273">
      <x:c r="A72" s="33"/>
    </x:row>
    <x:row r="73" ht="13.899999618530273">
      <x:c r="A73" s="33"/>
    </x:row>
    <x:row r="74" ht="13.899999618530273">
      <x:c r="A74" s="33"/>
    </x:row>
    <x:row r="75" ht="13.899999618530273">
      <x:c r="A75" s="33"/>
    </x:row>
    <x:row r="76" ht="13.899999618530273">
      <x:c r="A76" s="33"/>
    </x:row>
    <x:row r="77" ht="13.899999618530273">
      <x:c r="A77" s="33"/>
    </x:row>
    <x:row r="78" ht="13.899999618530273">
      <x:c r="A78" s="33"/>
    </x:row>
    <x:row r="79" ht="13.899999618530273">
      <x:c r="A79" s="33"/>
    </x:row>
    <x:row r="80" ht="13.899999618530273">
      <x:c r="A80" s="33"/>
    </x:row>
    <x:row r="81" ht="13.899999618530273">
      <x:c r="A81" s="33"/>
    </x:row>
    <x:row r="82" ht="13.899999618530273">
      <x:c r="A82" s="33"/>
    </x:row>
    <x:row r="83" ht="13.899999618530273">
      <x:c r="A83" s="33"/>
    </x:row>
    <x:row r="84" ht="13.899999618530273">
      <x:c r="A84" s="33"/>
    </x:row>
    <x:row r="85" ht="13.899999618530273">
      <x:c r="A85" s="33"/>
    </x:row>
    <x:row r="86" ht="13.899999618530273">
      <x:c r="A86" s="33"/>
    </x:row>
    <x:row r="87" ht="13.899999618530273">
      <x:c r="A87" s="33"/>
    </x:row>
    <x:row r="88" ht="13.899999618530273">
      <x:c r="A88" s="33"/>
    </x:row>
    <x:row r="89" ht="13.899999618530273">
      <x:c r="A89" s="33"/>
    </x:row>
    <x:row r="90" ht="13.899999618530273">
      <x:c r="A90" s="33"/>
    </x:row>
    <x:row r="91" ht="13.899999618530273">
      <x:c r="A91" s="33"/>
    </x:row>
    <x:row r="92" ht="13.899999618530273">
      <x:c r="A92" s="33"/>
    </x:row>
    <x:row r="93" ht="13.899999618530273">
      <x:c r="A93" s="33"/>
    </x:row>
    <x:row r="94" ht="13.899999618530273">
      <x:c r="A94" s="33"/>
    </x:row>
    <x:row r="95" ht="13.899999618530273">
      <x:c r="A95" s="33"/>
    </x:row>
    <x:row r="96" ht="13.899999618530273">
      <x:c r="A96" s="33"/>
    </x:row>
    <x:row r="97" ht="13.899999618530273">
      <x:c r="A97" s="33"/>
    </x:row>
    <x:row r="98" ht="13.899999618530273">
      <x:c r="A98" s="33"/>
    </x:row>
    <x:row r="99" ht="13.899999618530273">
      <x:c r="A99" s="33"/>
    </x:row>
    <x:row r="100" ht="13.899999618530273">
      <x:c r="A100" s="33"/>
    </x:row>
    <x:row r="101" ht="13.899999618530273">
      <x:c r="A101" s="33"/>
    </x:row>
    <x:row r="102" ht="13.899999618530273">
      <x:c r="A102" s="33"/>
    </x:row>
    <x:row r="103" ht="13.899999618530273">
      <x:c r="A103" s="33"/>
    </x:row>
    <x:row r="104" ht="13.899999618530273">
      <x:c r="A104" s="33"/>
    </x:row>
    <x:row r="105" ht="13.899999618530273">
      <x:c r="A105" s="33"/>
    </x:row>
    <x:row r="106" ht="13.899999618530273">
      <x:c r="A106" s="33"/>
    </x:row>
    <x:row r="107" ht="13.899999618530273">
      <x:c r="A107" s="33"/>
    </x:row>
    <x:row r="108" ht="13.899999618530273">
      <x:c r="A108" s="33"/>
    </x:row>
    <x:row r="109" ht="13.899999618530273">
      <x:c r="A109" s="33"/>
    </x:row>
    <x:row r="110" ht="13.899999618530273">
      <x:c r="A110" s="33"/>
    </x:row>
    <x:row r="111" ht="13.899999618530273">
      <x:c r="A111" s="33"/>
    </x:row>
    <x:row r="112" ht="13.899999618530273">
      <x:c r="A112" s="33"/>
    </x:row>
    <x:row r="113" ht="13.899999618530273">
      <x:c r="A113" s="33"/>
    </x:row>
    <x:row r="114" ht="13.899999618530273">
      <x:c r="A114" s="33"/>
    </x:row>
    <x:row r="115" ht="13.899999618530273">
      <x:c r="A115" s="33"/>
    </x:row>
    <x:row r="116" ht="13.899999618530273">
      <x:c r="A116" s="33"/>
    </x:row>
    <x:row r="117" ht="13.899999618530273">
      <x:c r="A117" s="33"/>
    </x:row>
    <x:row r="118" ht="13.899999618530273">
      <x:c r="A118" s="33"/>
    </x:row>
    <x:row r="119" ht="13.899999618530273">
      <x:c r="A119" s="33"/>
    </x:row>
    <x:row r="120" ht="13.899999618530273">
      <x:c r="A120" s="33"/>
    </x:row>
    <x:row r="121" ht="13.899999618530273">
      <x:c r="A121" s="33"/>
    </x:row>
    <x:row r="122" ht="13.899999618530273">
      <x:c r="A122" s="33"/>
    </x:row>
    <x:row r="123" ht="13.899999618530273">
      <x:c r="A123" s="33"/>
    </x:row>
    <x:row r="124" ht="13.899999618530273">
      <x:c r="A124" s="33"/>
    </x:row>
    <x:row r="125" ht="13.899999618530273">
      <x:c r="A125" s="33"/>
    </x:row>
    <x:row r="126" ht="13.899999618530273">
      <x:c r="A126" s="33"/>
    </x:row>
    <x:row r="127" ht="13.899999618530273">
      <x:c r="A127" s="33"/>
    </x:row>
    <x:row r="128" ht="13.899999618530273">
      <x:c r="A128" s="33"/>
    </x:row>
    <x:row r="129" ht="13.899999618530273">
      <x:c r="A129" s="33"/>
    </x:row>
    <x:row r="130" ht="13.899999618530273">
      <x:c r="A130" s="33"/>
    </x:row>
    <x:row r="131" ht="13.899999618530273">
      <x:c r="A131" s="33"/>
    </x:row>
    <x:row r="132" ht="13.899999618530273">
      <x:c r="A132" s="33"/>
    </x:row>
    <x:row r="133" ht="13.899999618530273">
      <x:c r="A133" s="33"/>
    </x:row>
    <x:row r="134" ht="13.899999618530273">
      <x:c r="A134" s="33"/>
    </x:row>
    <x:row r="135" ht="13.899999618530273">
      <x:c r="A135" s="33"/>
    </x:row>
    <x:row r="136" ht="13.899999618530273">
      <x:c r="A136" s="33"/>
    </x:row>
    <x:row r="137" ht="13.899999618530273">
      <x:c r="A137" s="33"/>
    </x:row>
    <x:row r="138" ht="13.899999618530273">
      <x:c r="A138" s="33"/>
    </x:row>
    <x:row r="139" ht="13.899999618530273">
      <x:c r="A139" s="33"/>
    </x:row>
    <x:row r="140" ht="13.899999618530273">
      <x:c r="A140" s="33"/>
    </x:row>
    <x:row r="141" ht="13.899999618530273">
      <x:c r="A141" s="33"/>
    </x:row>
    <x:row r="142" ht="13.899999618530273">
      <x:c r="A142" s="33"/>
    </x:row>
    <x:row r="143" ht="13.899999618530273">
      <x:c r="A143" s="33"/>
    </x:row>
    <x:row r="144" ht="13.899999618530273">
      <x:c r="A144" s="33"/>
    </x:row>
    <x:row r="145" ht="13.899999618530273">
      <x:c r="A145" s="33"/>
    </x:row>
    <x:row r="146" ht="13.899999618530273">
      <x:c r="A146" s="33"/>
    </x:row>
    <x:row r="147" ht="13.899999618530273">
      <x:c r="A147" s="33"/>
    </x:row>
    <x:row r="148" ht="13.899999618530273">
      <x:c r="A148" s="33"/>
    </x:row>
    <x:row r="149" ht="13.899999618530273">
      <x:c r="A149" s="33"/>
    </x:row>
    <x:row r="150" ht="13.899999618530273">
      <x:c r="A150" s="33"/>
    </x:row>
    <x:row r="151" ht="13.899999618530273">
      <x:c r="A151" s="33"/>
    </x:row>
    <x:row r="152" ht="13.899999618530273">
      <x:c r="A152" s="33"/>
    </x:row>
    <x:row r="153" ht="13.899999618530273">
      <x:c r="A153" s="33"/>
    </x:row>
    <x:row r="154" ht="13.899999618530273">
      <x:c r="A154" s="33"/>
    </x:row>
    <x:row r="155" ht="13.899999618530273">
      <x:c r="A155" s="33"/>
    </x:row>
    <x:row r="156" ht="13.899999618530273">
      <x:c r="A156" s="33"/>
    </x:row>
    <x:row r="157" ht="13.899999618530273">
      <x:c r="A157" s="33"/>
    </x:row>
    <x:row r="158" ht="13.899999618530273">
      <x:c r="A158" s="33"/>
    </x:row>
    <x:row r="159" ht="13.899999618530273">
      <x:c r="A159" s="33"/>
    </x:row>
    <x:row r="160" ht="13.899999618530273">
      <x:c r="A160" s="33"/>
    </x:row>
    <x:row r="161" ht="13.899999618530273">
      <x:c r="A161" s="33"/>
    </x:row>
    <x:row r="162" ht="13.899999618530273">
      <x:c r="A162" s="33"/>
    </x:row>
    <x:row r="163" ht="13.899999618530273">
      <x:c r="A163" s="33"/>
    </x:row>
    <x:row r="164" ht="13.899999618530273">
      <x:c r="A164" s="33"/>
    </x:row>
    <x:row r="165" ht="13.899999618530273">
      <x:c r="A165" s="33"/>
    </x:row>
    <x:row r="166" ht="13.899999618530273">
      <x:c r="A166" s="33"/>
    </x:row>
    <x:row r="167" ht="13.899999618530273">
      <x:c r="A167" s="33"/>
    </x:row>
    <x:row r="168" ht="13.899999618530273">
      <x:c r="A168" s="33"/>
    </x:row>
    <x:row r="169" ht="13.899999618530273">
      <x:c r="A169" s="33"/>
    </x:row>
    <x:row r="170" ht="13.899999618530273">
      <x:c r="A170" s="33"/>
    </x:row>
    <x:row r="171" ht="13.899999618530273">
      <x:c r="A171" s="33"/>
    </x:row>
    <x:row r="172" ht="13.899999618530273">
      <x:c r="A172" s="33"/>
    </x:row>
    <x:row r="173" ht="13.899999618530273">
      <x:c r="A173" s="33"/>
    </x:row>
    <x:row r="174" ht="13.899999618530273">
      <x:c r="A174" s="33"/>
    </x:row>
    <x:row r="175" ht="13.899999618530273">
      <x:c r="A175" s="33"/>
    </x:row>
    <x:row r="176" ht="13.899999618530273">
      <x:c r="A176" s="33"/>
    </x:row>
    <x:row r="177" ht="13.899999618530273">
      <x:c r="A177" s="33"/>
    </x:row>
    <x:row r="178" ht="13.899999618530273">
      <x:c r="A178" s="33"/>
    </x:row>
    <x:row r="179" ht="13.899999618530273">
      <x:c r="A179" s="33"/>
    </x:row>
    <x:row r="180" ht="13.899999618530273">
      <x:c r="A180" s="33"/>
    </x:row>
    <x:row r="181" ht="13.899999618530273">
      <x:c r="A181" s="33"/>
    </x:row>
    <x:row r="182" ht="13.899999618530273">
      <x:c r="A182" s="33"/>
    </x:row>
    <x:row r="183" ht="13.899999618530273">
      <x:c r="A183" s="33"/>
    </x:row>
    <x:row r="184" ht="13.899999618530273">
      <x:c r="A184" s="33"/>
    </x:row>
    <x:row r="185" ht="13.899999618530273">
      <x:c r="A185" s="33"/>
    </x:row>
    <x:row r="186" ht="13.899999618530273">
      <x:c r="A186" s="33"/>
    </x:row>
    <x:row r="187" ht="13.899999618530273">
      <x:c r="A187" s="33"/>
    </x:row>
    <x:row r="188" ht="13.899999618530273">
      <x:c r="A188" s="33"/>
    </x:row>
    <x:row r="189" ht="13.899999618530273">
      <x:c r="A189" s="33"/>
    </x:row>
    <x:row r="190" ht="13.899999618530273">
      <x:c r="A190" s="33"/>
    </x:row>
    <x:row r="191" ht="13.899999618530273">
      <x:c r="A191" s="33"/>
    </x:row>
    <x:row r="192" ht="13.899999618530273">
      <x:c r="A192" s="33"/>
    </x:row>
    <x:row r="193" ht="13.899999618530273">
      <x:c r="A193" s="33"/>
    </x:row>
    <x:row r="194" ht="13.899999618530273">
      <x:c r="A194" s="33"/>
    </x:row>
    <x:row r="195" ht="13.899999618530273">
      <x:c r="A195" s="33"/>
    </x:row>
    <x:row r="196" ht="13.899999618530273">
      <x:c r="A196" s="33"/>
    </x:row>
    <x:row r="197" ht="13.899999618530273">
      <x:c r="A197" s="33"/>
    </x:row>
    <x:row r="198" ht="13.899999618530273">
      <x:c r="A198" s="33"/>
    </x:row>
    <x:row r="199" ht="13.899999618530273">
      <x:c r="A199" s="33"/>
    </x:row>
    <x:row r="200" ht="13.899999618530273">
      <x:c r="A200" s="33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d73649cc25346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2" hidden="0" customWidth="1"/>
    <x:col min="7" max="7" width="48" hidden="0" customWidth="1"/>
  </x:cols>
  <x:sheetData>
    <x:row r="1" ht="16.799999237060547" hidden="0" customHeight="1">
      <x:c r="A1" s="131" t="str">
        <x:v>YuanStar 星石突破材料规则</x:v>
      </x:c>
      <x:c r="B1" s="131"/>
      <x:c r="C1" s="131"/>
      <x:c r="D1" s="131"/>
      <x:c r="E1" s="131"/>
      <x:c r="F1" s="131"/>
      <x:c r="G1" s="131"/>
    </x:row>
    <x:row r="2"/>
    <x:row r="3" ht="26.399999618530273" hidden="0" customHeight="1">
      <x:c r="A3" s="140" t="str">
        <x:v>突破节点等级</x:v>
      </x:c>
      <x:c r="B3" s="140" t="str">
        <x:v>解注瓶
jiezhuping</x:v>
      </x:c>
      <x:c r="C3" s="140" t="str">
        <x:v>解谪瓶
jiezheping</x:v>
      </x:c>
      <x:c r="D3" s="140" t="str">
        <x:v>解殃瓶
jieyangping</x:v>
      </x:c>
      <x:c r="E3" s="140" t="str">
        <x:v>默认计入条件</x:v>
      </x:c>
      <x:c r="F3" s="140" t="str">
        <x:v>状态</x:v>
      </x:c>
      <x:c r="G3" s="140" t="str">
        <x:v>备注</x:v>
      </x:c>
    </x:row>
    <x:row r="4" ht="15" hidden="0" customHeight="1">
      <x:c r="A4" s="148" t="n">
        <x:v>10</x:v>
      </x:c>
      <x:c r="B4" s="148" t="n">
        <x:v>5</x:v>
      </x:c>
      <x:c r="C4" s="148" t="n">
        <x:v>0</x:v>
      </x:c>
      <x:c r="D4" s="148" t="n">
        <x:v>0</x:v>
      </x:c>
      <x:c r="E4" s="126" t="str">
        <x:v>当前等级≤10&lt;目标等级</x:v>
      </x:c>
      <x:c r="F4" s="154" t="str">
        <x:v>已确认</x:v>
      </x:c>
      <x:c r="G4" s="126" t="str">
        <x:v>10级突破</x:v>
      </x:c>
    </x:row>
    <x:row r="5" ht="15" hidden="0" customHeight="1">
      <x:c r="A5" s="148" t="n">
        <x:v>20</x:v>
      </x:c>
      <x:c r="B5" s="148" t="n">
        <x:v>10</x:v>
      </x:c>
      <x:c r="C5" s="148" t="n">
        <x:v>0</x:v>
      </x:c>
      <x:c r="D5" s="148" t="n">
        <x:v>0</x:v>
      </x:c>
      <x:c r="E5" s="126" t="str">
        <x:v>当前等级≤20&lt;目标等级</x:v>
      </x:c>
      <x:c r="F5" s="154" t="str">
        <x:v>已确认</x:v>
      </x:c>
      <x:c r="G5" s="126" t="str">
        <x:v>20级突破</x:v>
      </x:c>
    </x:row>
    <x:row r="6" ht="15" hidden="0" customHeight="1">
      <x:c r="A6" s="148" t="n">
        <x:v>30</x:v>
      </x:c>
      <x:c r="B6" s="148" t="n">
        <x:v>30</x:v>
      </x:c>
      <x:c r="C6" s="148" t="n">
        <x:v>30</x:v>
      </x:c>
      <x:c r="D6" s="148" t="n">
        <x:v>0</x:v>
      </x:c>
      <x:c r="E6" s="126" t="str">
        <x:v>当前等级≤30&lt;目标等级</x:v>
      </x:c>
      <x:c r="F6" s="154" t="str">
        <x:v>已确认</x:v>
      </x:c>
      <x:c r="G6" s="126" t="str">
        <x:v>30级突破</x:v>
      </x:c>
    </x:row>
    <x:row r="7" ht="15" hidden="0" customHeight="1">
      <x:c r="A7" s="148" t="n">
        <x:v>40</x:v>
      </x:c>
      <x:c r="B7" s="148" t="n">
        <x:v>0</x:v>
      </x:c>
      <x:c r="C7" s="148" t="n">
        <x:v>50</x:v>
      </x:c>
      <x:c r="D7" s="148" t="n">
        <x:v>20</x:v>
      </x:c>
      <x:c r="E7" s="126" t="str">
        <x:v>当前等级≤40&lt;目标等级</x:v>
      </x:c>
      <x:c r="F7" s="154" t="str">
        <x:v>已确认</x:v>
      </x:c>
      <x:c r="G7" s="126" t="str">
        <x:v>40级突破</x:v>
      </x:c>
    </x:row>
    <x:row r="8" ht="15" hidden="0" customHeight="1">
      <x:c r="A8" s="148" t="n">
        <x:v>50</x:v>
      </x:c>
      <x:c r="B8" s="148" t="n">
        <x:v>0</x:v>
      </x:c>
      <x:c r="C8" s="148" t="n">
        <x:v>60</x:v>
      </x:c>
      <x:c r="D8" s="148" t="n">
        <x:v>60</x:v>
      </x:c>
      <x:c r="E8" s="126" t="str">
        <x:v>当前等级≤50&lt;目标等级</x:v>
      </x:c>
      <x:c r="F8" s="154" t="str">
        <x:v>已确认</x:v>
      </x:c>
      <x:c r="G8" s="126" t="str">
        <x:v>50级突破</x:v>
      </x:c>
    </x:row>
    <x:row r="9" ht="15" hidden="0" customHeight="1">
      <x:c r="A9" s="126"/>
      <x:c r="B9" s="126"/>
      <x:c r="C9" s="126"/>
      <x:c r="D9" s="126"/>
      <x:c r="E9" s="126"/>
      <x:c r="F9" s="154"/>
      <x:c r="G9" s="126"/>
    </x:row>
    <x:row r="10" ht="15" hidden="0" customHeight="1">
      <x:c r="A10" s="146" t="str">
        <x:v>边界纠正规则（仅本次计算/扣除，不持久化突破状态）</x:v>
      </x:c>
      <x:c r="B10" s="146"/>
      <x:c r="C10" s="146"/>
      <x:c r="D10" s="146"/>
      <x:c r="E10" s="146"/>
      <x:c r="F10" s="155"/>
      <x:c r="G10" s="146"/>
    </x:row>
    <x:row r="11" ht="26.399999618530273" hidden="0" customHeight="1">
      <x:c r="A11" s="126" t="str">
        <x:v>当前等级正好是突破节点</x:v>
      </x:c>
      <x:c r="B11" s="126"/>
      <x:c r="C11" s="126"/>
      <x:c r="D11" s="126"/>
      <x:c r="E11" s="126" t="str">
        <x:v>默认视为尚未突破，因此计入该节点材料</x:v>
      </x:c>
      <x:c r="F11" s="154" t="str">
        <x:v>已确认</x:v>
      </x:c>
      <x:c r="G11" s="126" t="str">
        <x:v>用户可在本次完成确认时标记“当前节点已突破”，标记后排除该节点材料</x:v>
      </x:c>
    </x:row>
    <x:row r="12" ht="26.399999618530273" hidden="0" customHeight="1">
      <x:c r="A12" s="126" t="str">
        <x:v>目标等级正好是突破节点</x:v>
      </x:c>
      <x:c r="B12" s="126"/>
      <x:c r="C12" s="126"/>
      <x:c r="D12" s="126"/>
      <x:c r="E12" s="126" t="str">
        <x:v>默认只升到目标等级，不继续突破，因此不计目标节点材料</x:v>
      </x:c>
      <x:c r="F12" s="154" t="str">
        <x:v>已确认</x:v>
      </x:c>
      <x:c r="G12" s="126" t="str">
        <x:v>用户可选择“目标节点一并突破”，选择后计入该节点材料</x:v>
      </x:c>
    </x:row>
    <x:row r="13" ht="15" hidden="0" customHeight="1">
      <x:c r="A13" s="126" t="str">
        <x:v>示例：40→50</x:v>
      </x:c>
      <x:c r="B13" s="126" t="n">
        <x:v>0</x:v>
      </x:c>
      <x:c r="C13" s="126" t="n">
        <x:v>50</x:v>
      </x:c>
      <x:c r="D13" s="126" t="n">
        <x:v>20</x:v>
      </x:c>
      <x:c r="E13" s="126" t="str">
        <x:v>默认计40级材料，不计50级材料</x:v>
      </x:c>
      <x:c r="F13" s="154" t="str">
        <x:v>已确认</x:v>
      </x:c>
      <x:c r="G13" s="126" t="str">
        <x:v>若40级已突破，则本次可手动排除40级材料</x:v>
      </x:c>
    </x:row>
    <x:row r="14" ht="26.399999618530273" hidden="0" customHeight="1">
      <x:c r="A14" s="126" t="str">
        <x:v>示例：43→50</x:v>
      </x:c>
      <x:c r="B14" s="126" t="n">
        <x:v>0</x:v>
      </x:c>
      <x:c r="C14" s="126" t="n">
        <x:v>0</x:v>
      </x:c>
      <x:c r="D14" s="126" t="n">
        <x:v>0</x:v>
      </x:c>
      <x:c r="E14" s="126" t="str">
        <x:v>默认不计突破材料</x:v>
      </x:c>
      <x:c r="F14" s="154" t="str">
        <x:v>已确认</x:v>
      </x:c>
      <x:c r="G14" s="126" t="str">
        <x:v>43已越过40级节点；若选择50级一并突破，则额外计50级材料：解谪瓶×60、解殃瓶×60</x:v>
      </x:c>
    </x:row>
  </x:sheetData>
  <x:mergeCells>
    <x:mergeCell ref="A1:G1"/>
    <x:mergeCell ref="A10:G10"/>
  </x:mergeCells>
  <x:pageMargins left="0.7" right="0.7" top="0.75" bottom="0.75" header="0.3" footer="0.3"/>
</x:worksheet>
</file>